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📖マニュアル" sheetId="1" r:id="rId5"/>
    <sheet state="visible" name="📊売上入力" sheetId="2" r:id="rId6"/>
    <sheet state="visible" name="📉ダッシュボード" sheetId="3" r:id="rId7"/>
    <sheet state="visible" name="📈月次サマリー" sheetId="4" r:id="rId8"/>
    <sheet state="visible" name="🔧稼働率分析" sheetId="5" r:id="rId9"/>
    <sheet state="visible" name="💰経費・人件費" sheetId="6" r:id="rId10"/>
    <sheet state="visible" name="📋損益サマリー" sheetId="7" r:id="rId11"/>
  </sheets>
  <definedNames/>
  <calcPr/>
</workbook>
</file>

<file path=xl/sharedStrings.xml><?xml version="1.0" encoding="utf-8"?>
<sst xmlns="http://schemas.openxmlformats.org/spreadsheetml/2006/main" count="417" uniqueCount="212">
  <si>
    <t>📖  コインランドリー 売上・経費管理ツール　使い方マニュアル</t>
  </si>
  <si>
    <t>第3期 2027年5月〜2028年4月　期版　　※黄色セルに入力 / それ以外は自動計算</t>
  </si>
  <si>
    <t>📋  シート構成と役割</t>
  </si>
  <si>
    <t>シート名</t>
  </si>
  <si>
    <t>役割</t>
  </si>
  <si>
    <t>更新頻度</t>
  </si>
  <si>
    <t>📊 売上入力</t>
  </si>
  <si>
    <t>機器を行、確認日を列で横スクロール。月ごとにブロック。11回分/月</t>
  </si>
  <si>
    <r>
      <rPr>
        <rFont val="Arial"/>
        <color rgb="FF000000"/>
        <sz val="10.0"/>
      </rPr>
      <t>3</t>
    </r>
    <r>
      <rPr>
        <rFont val="Noto Sans CJK SC"/>
        <color rgb="FF000000"/>
        <sz val="10.0"/>
      </rPr>
      <t>日ごと</t>
    </r>
  </si>
  <si>
    <t>💴 両替機</t>
  </si>
  <si>
    <r>
      <rPr>
        <rFont val="Arial"/>
        <color rgb="FF000000"/>
        <sz val="10.0"/>
      </rPr>
      <t>1,000</t>
    </r>
    <r>
      <rPr>
        <rFont val="Noto Sans CJK SC"/>
        <color rgb="FF000000"/>
        <sz val="10.0"/>
      </rPr>
      <t>円札抜取枚数・</t>
    </r>
    <r>
      <rPr>
        <rFont val="Arial"/>
        <color rgb="FF000000"/>
        <sz val="10.0"/>
      </rPr>
      <t>100</t>
    </r>
    <r>
      <rPr>
        <rFont val="Noto Sans CJK SC"/>
        <color rgb="FF000000"/>
        <sz val="10.0"/>
      </rPr>
      <t>円玉補充金額を同じ構成で記録</t>
    </r>
  </si>
  <si>
    <r>
      <rPr>
        <rFont val="Arial"/>
        <color rgb="FF000000"/>
        <sz val="10.0"/>
      </rPr>
      <t>3</t>
    </r>
    <r>
      <rPr>
        <rFont val="Noto Sans CJK SC"/>
        <color rgb="FF000000"/>
        <sz val="10.0"/>
      </rPr>
      <t>日ごと</t>
    </r>
  </si>
  <si>
    <t>📈 月次サマリー</t>
  </si>
  <si>
    <t>売上入力から月次合計を自動集計。転記不要。</t>
  </si>
  <si>
    <t>自動</t>
  </si>
  <si>
    <t>💰 経費・人件費</t>
  </si>
  <si>
    <t>光熱費等の固定費と清掃シフトの記録を入力</t>
  </si>
  <si>
    <t>都度</t>
  </si>
  <si>
    <t>📋 損益サマリー</t>
  </si>
  <si>
    <t>売上・経費・人件費から月次P&amp;Lを自動計算</t>
  </si>
  <si>
    <t>📉 ダッシュボード</t>
  </si>
  <si>
    <t>年間KPI・月次売上グラフを一覧表示</t>
  </si>
  <si>
    <t>📊  売上入力シートの使い方</t>
  </si>
  <si>
    <t>STEP 1</t>
  </si>
  <si>
    <t>鍵を開け、各機器のコイン投入口から現金を機器ごとに抜き取る</t>
  </si>
  <si>
    <t>機器別に金額を把握しておく</t>
  </si>
  <si>
    <t>STEP 2</t>
  </si>
  <si>
    <t>「📅確認日入力」行にその日の日付を入力（M/D形式）</t>
  </si>
  <si>
    <t>例：5月8日 → 5/8　第1回・第2回…と右に進む</t>
  </si>
  <si>
    <t>STEP 3</t>
  </si>
  <si>
    <t>各機器行に抜き取った金額を縦に入力。横にスクロールで月が進む</t>
  </si>
  <si>
    <t>月計・年間合計はすべて自動計算</t>
  </si>
  <si>
    <t>STEP 4</t>
  </si>
  <si>
    <t>各月11回分の枠あり。3日ごとなら月10回なので1回分余裕あり</t>
  </si>
  <si>
    <t>月をまたぐときは右の次月ブロックへ</t>
  </si>
  <si>
    <t>🎨  セルの色の意味</t>
  </si>
  <si>
    <t>🟡 黄色</t>
  </si>
  <si>
    <t>入力セル（日付・金額を入力してください）</t>
  </si>
  <si>
    <t>⬜ 白</t>
  </si>
  <si>
    <t>自動計算セル（触らないでください）</t>
  </si>
  <si>
    <t>🔵 水色</t>
  </si>
  <si>
    <t>売上・乾燥機中関連</t>
  </si>
  <si>
    <t>🩵 水緑</t>
  </si>
  <si>
    <t>乾燥機大関連</t>
  </si>
  <si>
    <t>🟣 紫</t>
  </si>
  <si>
    <t>両替機・洗濯乾燥機関連</t>
  </si>
  <si>
    <t>🟢 緑</t>
  </si>
  <si>
    <t>経費関連</t>
  </si>
  <si>
    <t>🩷 ピンク</t>
  </si>
  <si>
    <t>人件費・清掃記録</t>
  </si>
  <si>
    <t>🏪  コインランドリー 売上管理台帳  第3期 2027年5月〜2028年4月</t>
  </si>
  <si>
    <t>機器名</t>
  </si>
  <si>
    <r>
      <rPr>
        <rFont val="Meiryo"/>
        <b/>
        <color rgb="FFFFFFFF"/>
        <sz val="11.0"/>
      </rPr>
      <t>5</t>
    </r>
    <r>
      <rPr>
        <rFont val="Noto Sans CJK SC"/>
        <b/>
        <color rgb="FFFFFFFF"/>
        <sz val="11.0"/>
      </rPr>
      <t>月</t>
    </r>
  </si>
  <si>
    <r>
      <rPr>
        <rFont val="Meiryo"/>
        <b/>
        <color rgb="FFFFFFFF"/>
        <sz val="11.0"/>
      </rPr>
      <t>5</t>
    </r>
    <r>
      <rPr>
        <rFont val="Arial"/>
        <b/>
        <color rgb="FFFFFFFF"/>
        <sz val="11.0"/>
      </rPr>
      <t>月月計</t>
    </r>
  </si>
  <si>
    <r>
      <rPr>
        <rFont val="Meiryo"/>
        <b/>
        <color rgb="FFFFFFFF"/>
        <sz val="11.0"/>
      </rPr>
      <t>6</t>
    </r>
    <r>
      <rPr>
        <rFont val="Noto Sans CJK SC"/>
        <b/>
        <color rgb="FFFFFFFF"/>
        <sz val="11.0"/>
      </rPr>
      <t>月</t>
    </r>
  </si>
  <si>
    <r>
      <rPr>
        <rFont val="Meiryo"/>
        <b/>
        <color rgb="FFFFFFFF"/>
        <sz val="11.0"/>
      </rPr>
      <t>6</t>
    </r>
    <r>
      <rPr>
        <rFont val="Arial"/>
        <b/>
        <color rgb="FFFFFFFF"/>
        <sz val="11.0"/>
      </rPr>
      <t>月月計</t>
    </r>
  </si>
  <si>
    <r>
      <rPr>
        <rFont val="Meiryo"/>
        <b/>
        <color rgb="FFFFFFFF"/>
        <sz val="11.0"/>
      </rPr>
      <t>7</t>
    </r>
    <r>
      <rPr>
        <rFont val="Noto Sans CJK SC"/>
        <b/>
        <color rgb="FFFFFFFF"/>
        <sz val="11.0"/>
      </rPr>
      <t>月</t>
    </r>
  </si>
  <si>
    <r>
      <rPr>
        <rFont val="Meiryo"/>
        <b/>
        <color rgb="FFFFFFFF"/>
        <sz val="11.0"/>
      </rPr>
      <t>7</t>
    </r>
    <r>
      <rPr>
        <rFont val="Arial"/>
        <b/>
        <color rgb="FFFFFFFF"/>
        <sz val="11.0"/>
      </rPr>
      <t>月月計</t>
    </r>
  </si>
  <si>
    <r>
      <rPr>
        <rFont val="Meiryo"/>
        <b/>
        <color rgb="FFFFFFFF"/>
        <sz val="11.0"/>
      </rPr>
      <t>8</t>
    </r>
    <r>
      <rPr>
        <rFont val="Noto Sans CJK SC"/>
        <b/>
        <color rgb="FFFFFFFF"/>
        <sz val="11.0"/>
      </rPr>
      <t>月</t>
    </r>
  </si>
  <si>
    <r>
      <rPr>
        <rFont val="Meiryo"/>
        <b/>
        <color rgb="FFFFFFFF"/>
        <sz val="11.0"/>
      </rPr>
      <t>8</t>
    </r>
    <r>
      <rPr>
        <rFont val="Arial"/>
        <b/>
        <color rgb="FFFFFFFF"/>
        <sz val="11.0"/>
      </rPr>
      <t>月月計</t>
    </r>
  </si>
  <si>
    <r>
      <rPr>
        <rFont val="Meiryo"/>
        <b/>
        <color rgb="FFFFFFFF"/>
        <sz val="11.0"/>
      </rPr>
      <t>9</t>
    </r>
    <r>
      <rPr>
        <rFont val="Noto Sans CJK SC"/>
        <b/>
        <color rgb="FFFFFFFF"/>
        <sz val="11.0"/>
      </rPr>
      <t>月</t>
    </r>
  </si>
  <si>
    <r>
      <rPr>
        <rFont val="Meiryo"/>
        <b/>
        <color rgb="FFFFFFFF"/>
        <sz val="11.0"/>
      </rPr>
      <t>9</t>
    </r>
    <r>
      <rPr>
        <rFont val="Arial"/>
        <b/>
        <color rgb="FFFFFFFF"/>
        <sz val="11.0"/>
      </rPr>
      <t>月月計</t>
    </r>
  </si>
  <si>
    <r>
      <rPr>
        <rFont val="Meiryo"/>
        <b/>
        <color rgb="FFFFFFFF"/>
        <sz val="11.0"/>
      </rPr>
      <t>10</t>
    </r>
    <r>
      <rPr>
        <rFont val="Noto Sans CJK SC"/>
        <b/>
        <color rgb="FFFFFFFF"/>
        <sz val="11.0"/>
      </rPr>
      <t>月</t>
    </r>
  </si>
  <si>
    <r>
      <rPr>
        <rFont val="Meiryo"/>
        <b/>
        <color rgb="FFFFFFFF"/>
        <sz val="11.0"/>
      </rPr>
      <t>10</t>
    </r>
    <r>
      <rPr>
        <rFont val="Arial"/>
        <b/>
        <color rgb="FFFFFFFF"/>
        <sz val="11.0"/>
      </rPr>
      <t>月月計</t>
    </r>
  </si>
  <si>
    <r>
      <rPr>
        <rFont val="Meiryo"/>
        <b/>
        <color rgb="FFFFFFFF"/>
        <sz val="11.0"/>
      </rPr>
      <t>11</t>
    </r>
    <r>
      <rPr>
        <rFont val="Arial"/>
        <b/>
        <color rgb="FFFFFFFF"/>
        <sz val="11.0"/>
      </rPr>
      <t>月</t>
    </r>
  </si>
  <si>
    <r>
      <rPr>
        <rFont val="Meiryo"/>
        <b/>
        <color rgb="FFFFFFFF"/>
        <sz val="11.0"/>
      </rPr>
      <t>11</t>
    </r>
    <r>
      <rPr>
        <rFont val="Arial"/>
        <b/>
        <color rgb="FFFFFFFF"/>
        <sz val="11.0"/>
      </rPr>
      <t>月月計</t>
    </r>
  </si>
  <si>
    <r>
      <rPr>
        <rFont val="Meiryo"/>
        <b/>
        <color rgb="FFFFFFFF"/>
        <sz val="11.0"/>
      </rPr>
      <t>12</t>
    </r>
    <r>
      <rPr>
        <rFont val="Noto Sans CJK SC"/>
        <b/>
        <color rgb="FFFFFFFF"/>
        <sz val="11.0"/>
      </rPr>
      <t>月</t>
    </r>
  </si>
  <si>
    <r>
      <rPr>
        <rFont val="Meiryo"/>
        <b/>
        <color rgb="FFFFFFFF"/>
        <sz val="11.0"/>
      </rPr>
      <t>12</t>
    </r>
    <r>
      <rPr>
        <rFont val="Arial"/>
        <b/>
        <color rgb="FFFFFFFF"/>
        <sz val="11.0"/>
      </rPr>
      <t>月月計</t>
    </r>
  </si>
  <si>
    <r>
      <rPr>
        <rFont val="Meiryo"/>
        <b/>
        <color rgb="FFFFFFFF"/>
        <sz val="11.0"/>
      </rPr>
      <t>1</t>
    </r>
    <r>
      <rPr>
        <rFont val="Arial"/>
        <b/>
        <color rgb="FFFFFFFF"/>
        <sz val="11.0"/>
      </rPr>
      <t>月</t>
    </r>
  </si>
  <si>
    <r>
      <rPr>
        <rFont val="Meiryo"/>
        <b/>
        <color rgb="FFFFFFFF"/>
        <sz val="11.0"/>
      </rPr>
      <t>1</t>
    </r>
    <r>
      <rPr>
        <rFont val="Arial"/>
        <b/>
        <color rgb="FFFFFFFF"/>
        <sz val="11.0"/>
      </rPr>
      <t>月月計</t>
    </r>
  </si>
  <si>
    <r>
      <rPr>
        <rFont val="Meiryo"/>
        <b/>
        <color rgb="FFFFFFFF"/>
        <sz val="11.0"/>
      </rPr>
      <t>2</t>
    </r>
    <r>
      <rPr>
        <rFont val="Noto Sans CJK SC"/>
        <b/>
        <color rgb="FFFFFFFF"/>
        <sz val="11.0"/>
      </rPr>
      <t>月</t>
    </r>
  </si>
  <si>
    <r>
      <rPr>
        <rFont val="Meiryo"/>
        <b/>
        <color rgb="FFFFFFFF"/>
        <sz val="11.0"/>
      </rPr>
      <t>2</t>
    </r>
    <r>
      <rPr>
        <rFont val="Arial"/>
        <b/>
        <color rgb="FFFFFFFF"/>
        <sz val="11.0"/>
      </rPr>
      <t>月月計</t>
    </r>
  </si>
  <si>
    <r>
      <rPr>
        <rFont val="Meiryo"/>
        <b/>
        <color rgb="FFFFFFFF"/>
        <sz val="11.0"/>
      </rPr>
      <t>3</t>
    </r>
    <r>
      <rPr>
        <rFont val="Noto Sans CJK SC"/>
        <b/>
        <color rgb="FFFFFFFF"/>
        <sz val="11.0"/>
      </rPr>
      <t>月</t>
    </r>
  </si>
  <si>
    <r>
      <rPr>
        <rFont val="Meiryo"/>
        <b/>
        <color rgb="FFFFFFFF"/>
        <sz val="11.0"/>
      </rPr>
      <t>3</t>
    </r>
    <r>
      <rPr>
        <rFont val="Arial"/>
        <b/>
        <color rgb="FFFFFFFF"/>
        <sz val="11.0"/>
      </rPr>
      <t>月月計</t>
    </r>
  </si>
  <si>
    <r>
      <rPr>
        <rFont val="Meiryo"/>
        <b/>
        <color rgb="FFFFFFFF"/>
        <sz val="11.0"/>
      </rPr>
      <t>4</t>
    </r>
    <r>
      <rPr>
        <rFont val="Noto Sans CJK SC"/>
        <b/>
        <color rgb="FFFFFFFF"/>
        <sz val="11.0"/>
      </rPr>
      <t>月</t>
    </r>
  </si>
  <si>
    <r>
      <rPr>
        <rFont val="Meiryo"/>
        <b/>
        <color rgb="FFFFFFFF"/>
        <sz val="11.0"/>
      </rPr>
      <t>4</t>
    </r>
    <r>
      <rPr>
        <rFont val="Arial"/>
        <b/>
        <color rgb="FFFFFFFF"/>
        <sz val="11.0"/>
      </rPr>
      <t>月月計</t>
    </r>
  </si>
  <si>
    <t>年間合計</t>
  </si>
  <si>
    <t>確認日 →</t>
  </si>
  <si>
    <t>第1回</t>
  </si>
  <si>
    <t>第2回</t>
  </si>
  <si>
    <t>第3回</t>
  </si>
  <si>
    <t>第4回</t>
  </si>
  <si>
    <t>第5回</t>
  </si>
  <si>
    <t>第6回</t>
  </si>
  <si>
    <t>第7回</t>
  </si>
  <si>
    <t>第8回</t>
  </si>
  <si>
    <t>第9回</t>
  </si>
  <si>
    <t>第10回</t>
  </si>
  <si>
    <t>第11回</t>
  </si>
  <si>
    <t>月計</t>
  </si>
  <si>
    <t>年計</t>
  </si>
  <si>
    <t>📅 確認日入力</t>
  </si>
  <si>
    <t>乾燥機(中) No.1&amp;2</t>
  </si>
  <si>
    <t>乾燥機(中) No.3&amp;4</t>
  </si>
  <si>
    <t>乾燥機(中) No.5&amp;6</t>
  </si>
  <si>
    <t>乾燥機(中) No.7&amp;8</t>
  </si>
  <si>
    <t>乾燥機(中) No.9&amp;10</t>
  </si>
  <si>
    <t>乾燥機(大) No.11</t>
  </si>
  <si>
    <t>乾燥機(大) No.12</t>
  </si>
  <si>
    <t>洗濯乾燥機 No.13</t>
  </si>
  <si>
    <t>📌 確認日合計</t>
  </si>
  <si>
    <t>💴  両替機 管理記録（確認日は上の行と共通）</t>
  </si>
  <si>
    <r>
      <rPr>
        <rFont val="Arial"/>
        <b/>
        <color rgb="FF4A148C"/>
        <sz val="10.0"/>
      </rPr>
      <t>💴 1,000</t>
    </r>
    <r>
      <rPr>
        <rFont val="Noto Sans CJK SC"/>
        <b/>
        <color rgb="FF4A148C"/>
        <sz val="10.0"/>
      </rPr>
      <t>円札 抜取（枚）</t>
    </r>
  </si>
  <si>
    <t xml:space="preserve">  └ 抜取金額（自動）</t>
  </si>
  <si>
    <t>📉  ダッシュボード  第3期 2027年5月〜2028年4月</t>
  </si>
  <si>
    <t>年間売上合計</t>
  </si>
  <si>
    <t>年間営業利益</t>
  </si>
  <si>
    <t>年間利益率</t>
  </si>
  <si>
    <t>📊  月次売上・利益推移</t>
  </si>
  <si>
    <t>月</t>
  </si>
  <si>
    <t>売上</t>
  </si>
  <si>
    <t>営業利益</t>
  </si>
  <si>
    <t>🔧  機器別 稼働率サマリー</t>
  </si>
  <si>
    <t>合計売上</t>
  </si>
  <si>
    <t>合計回数</t>
  </si>
  <si>
    <t>年間平均稼働率</t>
  </si>
  <si>
    <t>評価</t>
  </si>
  <si>
    <t>乾燥機(中) No.1&amp;6</t>
  </si>
  <si>
    <t>乾燥機(中) No.2&amp;7</t>
  </si>
  <si>
    <t>乾燥機(中) No.3&amp;8</t>
  </si>
  <si>
    <t>乾燥機(中) No.4&amp;9</t>
  </si>
  <si>
    <t>乾燥機(中) No.5&amp;10</t>
  </si>
  <si>
    <t>乾燥機(大) No.1</t>
  </si>
  <si>
    <t>乾燥機(大) No.2</t>
  </si>
  <si>
    <t>洗濯乾燥機 No.1</t>
  </si>
  <si>
    <t>📌 全機器平均</t>
  </si>
  <si>
    <t>📈  月次サマリー  第3期 2027年5月〜2028年4月</t>
  </si>
  <si>
    <t>乾燥機(中)</t>
  </si>
  <si>
    <t>乾燥機(大)</t>
  </si>
  <si>
    <t>洗濯乾燥機</t>
  </si>
  <si>
    <t>月次売上合計</t>
  </si>
  <si>
    <t>両替機抜取</t>
  </si>
  <si>
    <t>前月比</t>
  </si>
  <si>
    <t>稼働率(推定)</t>
  </si>
  <si>
    <t>—</t>
  </si>
  <si>
    <t>📌 年間合計</t>
  </si>
  <si>
    <t>🔧  機器別 稼働率分析  第3期 2026年5月〜2027年4月</t>
  </si>
  <si>
    <t>稼働率 = 実際の稼働回数 ÷ 1日最大稼働回数 × 日数　　売上 ÷ 料金/回 = 稼働回数（推定）</t>
  </si>
  <si>
    <t>⚙️  前提条件（変更可）</t>
  </si>
  <si>
    <t>機器タイプ</t>
  </si>
  <si>
    <t>料金/回(円)</t>
  </si>
  <si>
    <r>
      <rPr>
        <rFont val="Meiryo"/>
        <b/>
        <color rgb="FFFFFFFF"/>
        <sz val="10.0"/>
      </rPr>
      <t>1</t>
    </r>
    <r>
      <rPr>
        <rFont val="Arial"/>
        <b/>
        <color rgb="FFFFFFFF"/>
        <sz val="10.0"/>
      </rPr>
      <t>回平均
利用時間</t>
    </r>
    <r>
      <rPr>
        <rFont val="Meiryo"/>
        <b/>
        <color rgb="FFFFFFFF"/>
        <sz val="10.0"/>
      </rPr>
      <t>(</t>
    </r>
    <r>
      <rPr>
        <rFont val="Arial"/>
        <b/>
        <color rgb="FFFFFFFF"/>
        <sz val="10.0"/>
      </rPr>
      <t>分</t>
    </r>
    <r>
      <rPr>
        <rFont val="Meiryo"/>
        <b/>
        <color rgb="FFFFFFFF"/>
        <sz val="10.0"/>
      </rPr>
      <t>)</t>
    </r>
  </si>
  <si>
    <t>取出し待ち(分)</t>
  </si>
  <si>
    <r>
      <rPr>
        <rFont val="Meiryo"/>
        <b/>
        <color rgb="FFFFFFFF"/>
        <sz val="10.0"/>
      </rPr>
      <t>1</t>
    </r>
    <r>
      <rPr>
        <rFont val="Arial"/>
        <b/>
        <color rgb="FFFFFFFF"/>
        <sz val="10.0"/>
      </rPr>
      <t>回あたり合計</t>
    </r>
    <r>
      <rPr>
        <rFont val="Meiryo"/>
        <b/>
        <color rgb="FFFFFFFF"/>
        <sz val="10.0"/>
      </rPr>
      <t>(</t>
    </r>
    <r>
      <rPr>
        <rFont val="Arial"/>
        <b/>
        <color rgb="FFFFFFFF"/>
        <sz val="10.0"/>
      </rPr>
      <t>分</t>
    </r>
    <r>
      <rPr>
        <rFont val="Meiryo"/>
        <b/>
        <color rgb="FFFFFFFF"/>
        <sz val="10.0"/>
      </rPr>
      <t>)</t>
    </r>
  </si>
  <si>
    <r>
      <rPr>
        <rFont val="Meiryo"/>
        <b/>
        <color rgb="FFFFFFFF"/>
        <sz val="10.0"/>
      </rPr>
      <t>1</t>
    </r>
    <r>
      <rPr>
        <rFont val="Arial"/>
        <b/>
        <color rgb="FFFFFFFF"/>
        <sz val="10.0"/>
      </rPr>
      <t>日最大回転数</t>
    </r>
  </si>
  <si>
    <t>備考</t>
  </si>
  <si>
    <t>営業日数</t>
  </si>
  <si>
    <r>
      <rPr>
        <rFont val="Meiryo"/>
        <color rgb="FF000000"/>
        <sz val="10.0"/>
      </rPr>
      <t>M</t>
    </r>
    <r>
      <rPr>
        <rFont val="Noto Sans CJK SC"/>
        <color rgb="FF000000"/>
        <sz val="10.0"/>
      </rPr>
      <t>型 乾燥機</t>
    </r>
    <r>
      <rPr>
        <rFont val="Meiryo"/>
        <color rgb="FF000000"/>
        <sz val="10.0"/>
      </rPr>
      <t>(</t>
    </r>
    <r>
      <rPr>
        <rFont val="Noto Sans CJK SC"/>
        <color rgb="FF000000"/>
        <sz val="10.0"/>
      </rPr>
      <t>中</t>
    </r>
    <r>
      <rPr>
        <rFont val="Meiryo"/>
        <color rgb="FF000000"/>
        <sz val="10.0"/>
      </rPr>
      <t>) 10</t>
    </r>
    <r>
      <rPr>
        <rFont val="Noto Sans CJK SC"/>
        <color rgb="FF000000"/>
        <sz val="10.0"/>
      </rPr>
      <t>台</t>
    </r>
  </si>
  <si>
    <r>
      <rPr>
        <rFont val="Meiryo"/>
        <color rgb="FF595959"/>
        <sz val="9.0"/>
      </rPr>
      <t>100</t>
    </r>
    <r>
      <rPr>
        <rFont val="Arial"/>
        <color rgb="FF595959"/>
        <sz val="9.0"/>
      </rPr>
      <t>円</t>
    </r>
    <r>
      <rPr>
        <rFont val="Meiryo"/>
        <color rgb="FF595959"/>
        <sz val="9.0"/>
      </rPr>
      <t>/10</t>
    </r>
    <r>
      <rPr>
        <rFont val="Arial"/>
        <color rgb="FF595959"/>
        <sz val="9.0"/>
      </rPr>
      <t>分 平均3</t>
    </r>
    <r>
      <rPr>
        <rFont val="Meiryo"/>
        <color rgb="FF595959"/>
        <sz val="9.0"/>
      </rPr>
      <t>0</t>
    </r>
    <r>
      <rPr>
        <rFont val="Arial"/>
        <color rgb="FF595959"/>
        <sz val="9.0"/>
      </rPr>
      <t>分</t>
    </r>
  </si>
  <si>
    <r>
      <rPr>
        <rFont val="Meiryo"/>
        <color rgb="FF000000"/>
        <sz val="10.0"/>
      </rPr>
      <t>L</t>
    </r>
    <r>
      <rPr>
        <rFont val="Noto Sans CJK SC"/>
        <color rgb="FF000000"/>
        <sz val="10.0"/>
      </rPr>
      <t>型 乾燥機</t>
    </r>
    <r>
      <rPr>
        <rFont val="Meiryo"/>
        <color rgb="FF000000"/>
        <sz val="10.0"/>
      </rPr>
      <t>(</t>
    </r>
    <r>
      <rPr>
        <rFont val="Noto Sans CJK SC"/>
        <color rgb="FF000000"/>
        <sz val="10.0"/>
      </rPr>
      <t>大</t>
    </r>
    <r>
      <rPr>
        <rFont val="Meiryo"/>
        <color rgb="FF000000"/>
        <sz val="10.0"/>
      </rPr>
      <t>) 2</t>
    </r>
    <r>
      <rPr>
        <rFont val="Noto Sans CJK SC"/>
        <color rgb="FF000000"/>
        <sz val="10.0"/>
      </rPr>
      <t>台</t>
    </r>
  </si>
  <si>
    <r>
      <rPr>
        <rFont val="Meiryo"/>
        <color rgb="FF595959"/>
        <sz val="9.0"/>
      </rPr>
      <t>100</t>
    </r>
    <r>
      <rPr>
        <rFont val="Noto Sans CJK SC"/>
        <color rgb="FF595959"/>
        <sz val="9.0"/>
      </rPr>
      <t>円</t>
    </r>
    <r>
      <rPr>
        <rFont val="Meiryo"/>
        <color rgb="FF595959"/>
        <sz val="9.0"/>
      </rPr>
      <t>/8</t>
    </r>
    <r>
      <rPr>
        <rFont val="Noto Sans CJK SC"/>
        <color rgb="FF595959"/>
        <sz val="9.0"/>
      </rPr>
      <t>分 平均</t>
    </r>
    <r>
      <rPr>
        <rFont val="Meiryo"/>
        <color rgb="FF595959"/>
        <sz val="9.0"/>
      </rPr>
      <t>24</t>
    </r>
    <r>
      <rPr>
        <rFont val="Noto Sans CJK SC"/>
        <color rgb="FF595959"/>
        <sz val="9.0"/>
      </rPr>
      <t>分</t>
    </r>
  </si>
  <si>
    <r>
      <rPr>
        <rFont val="Meiryo"/>
        <color rgb="FF000000"/>
        <sz val="10.0"/>
      </rPr>
      <t>XL</t>
    </r>
    <r>
      <rPr>
        <rFont val="Noto Sans CJK SC"/>
        <color rgb="FF000000"/>
        <sz val="10.0"/>
      </rPr>
      <t xml:space="preserve">型 洗濯乾燥機 </t>
    </r>
    <r>
      <rPr>
        <rFont val="Meiryo"/>
        <color rgb="FF000000"/>
        <sz val="10.0"/>
      </rPr>
      <t>1</t>
    </r>
    <r>
      <rPr>
        <rFont val="Noto Sans CJK SC"/>
        <color rgb="FF000000"/>
        <sz val="10.0"/>
      </rPr>
      <t>台</t>
    </r>
  </si>
  <si>
    <t>平均1,150円 62分/回</t>
  </si>
  <si>
    <t>※ 稼働率 ＝ 推定稼働回数 ÷（1日最大回転数 × 営業日数）　推定稼働回数 ＝ 月売上 ÷ 料金/回　　黄色セルは変更可</t>
  </si>
  <si>
    <t>📅 月別営業日数（黄色セルに入力）</t>
  </si>
  <si>
    <r>
      <rPr>
        <rFont val="Meiryo"/>
        <b/>
        <color rgb="FFFFFFFF"/>
        <sz val="10.0"/>
      </rPr>
      <t>5</t>
    </r>
    <r>
      <rPr>
        <rFont val="Noto Sans CJK SC"/>
        <b/>
        <color rgb="FFFFFFFF"/>
        <sz val="10.0"/>
      </rPr>
      <t>月</t>
    </r>
  </si>
  <si>
    <r>
      <rPr>
        <rFont val="Meiryo"/>
        <b/>
        <color rgb="FFFFFFFF"/>
        <sz val="10.0"/>
      </rPr>
      <t>6</t>
    </r>
    <r>
      <rPr>
        <rFont val="Noto Sans CJK SC"/>
        <b/>
        <color rgb="FFFFFFFF"/>
        <sz val="10.0"/>
      </rPr>
      <t>月</t>
    </r>
  </si>
  <si>
    <r>
      <rPr>
        <rFont val="Meiryo"/>
        <b/>
        <color rgb="FFFFFFFF"/>
        <sz val="10.0"/>
      </rPr>
      <t>7</t>
    </r>
    <r>
      <rPr>
        <rFont val="Noto Sans CJK SC"/>
        <b/>
        <color rgb="FFFFFFFF"/>
        <sz val="10.0"/>
      </rPr>
      <t>月</t>
    </r>
  </si>
  <si>
    <r>
      <rPr>
        <rFont val="Meiryo"/>
        <b/>
        <color rgb="FFFFFFFF"/>
        <sz val="10.0"/>
      </rPr>
      <t>8</t>
    </r>
    <r>
      <rPr>
        <rFont val="Noto Sans CJK SC"/>
        <b/>
        <color rgb="FFFFFFFF"/>
        <sz val="10.0"/>
      </rPr>
      <t>月</t>
    </r>
  </si>
  <si>
    <r>
      <rPr>
        <rFont val="Meiryo"/>
        <b/>
        <color rgb="FFFFFFFF"/>
        <sz val="10.0"/>
      </rPr>
      <t>9</t>
    </r>
    <r>
      <rPr>
        <rFont val="Noto Sans CJK SC"/>
        <b/>
        <color rgb="FFFFFFFF"/>
        <sz val="10.0"/>
      </rPr>
      <t>月</t>
    </r>
  </si>
  <si>
    <r>
      <rPr>
        <rFont val="Meiryo"/>
        <b/>
        <color rgb="FFFFFFFF"/>
        <sz val="10.0"/>
      </rPr>
      <t>10</t>
    </r>
    <r>
      <rPr>
        <rFont val="Noto Sans CJK SC"/>
        <b/>
        <color rgb="FFFFFFFF"/>
        <sz val="10.0"/>
      </rPr>
      <t>月</t>
    </r>
  </si>
  <si>
    <r>
      <rPr>
        <rFont val="Meiryo"/>
        <b/>
        <color rgb="FFFFFFFF"/>
        <sz val="10.0"/>
      </rPr>
      <t>11</t>
    </r>
    <r>
      <rPr>
        <rFont val="Noto Sans CJK SC"/>
        <b/>
        <color rgb="FFFFFFFF"/>
        <sz val="10.0"/>
      </rPr>
      <t>月</t>
    </r>
  </si>
  <si>
    <r>
      <rPr>
        <rFont val="Meiryo"/>
        <b/>
        <color rgb="FFFFFFFF"/>
        <sz val="10.0"/>
      </rPr>
      <t>12</t>
    </r>
    <r>
      <rPr>
        <rFont val="Noto Sans CJK SC"/>
        <b/>
        <color rgb="FFFFFFFF"/>
        <sz val="10.0"/>
      </rPr>
      <t>月</t>
    </r>
  </si>
  <si>
    <r>
      <rPr>
        <rFont val="Meiryo"/>
        <b/>
        <color rgb="FFFFFFFF"/>
        <sz val="10.0"/>
      </rPr>
      <t>1</t>
    </r>
    <r>
      <rPr>
        <rFont val="Noto Sans CJK SC"/>
        <b/>
        <color rgb="FFFFFFFF"/>
        <sz val="10.0"/>
      </rPr>
      <t>月</t>
    </r>
  </si>
  <si>
    <r>
      <rPr>
        <rFont val="Meiryo"/>
        <b/>
        <color rgb="FFFFFFFF"/>
        <sz val="10.0"/>
      </rPr>
      <t>2</t>
    </r>
    <r>
      <rPr>
        <rFont val="Noto Sans CJK SC"/>
        <b/>
        <color rgb="FFFFFFFF"/>
        <sz val="10.0"/>
      </rPr>
      <t>月</t>
    </r>
  </si>
  <si>
    <r>
      <rPr>
        <rFont val="Meiryo"/>
        <b/>
        <color rgb="FFFFFFFF"/>
        <sz val="10.0"/>
      </rPr>
      <t>3</t>
    </r>
    <r>
      <rPr>
        <rFont val="Noto Sans CJK SC"/>
        <b/>
        <color rgb="FFFFFFFF"/>
        <sz val="10.0"/>
      </rPr>
      <t>月</t>
    </r>
  </si>
  <si>
    <r>
      <rPr>
        <rFont val="Meiryo"/>
        <b/>
        <color rgb="FFFFFFFF"/>
        <sz val="10.0"/>
      </rPr>
      <t>4</t>
    </r>
    <r>
      <rPr>
        <rFont val="Noto Sans CJK SC"/>
        <b/>
        <color rgb="FFFFFFFF"/>
        <sz val="10.0"/>
      </rPr>
      <t>月</t>
    </r>
  </si>
  <si>
    <t>平均稼働率</t>
  </si>
  <si>
    <t>回数(推定)</t>
  </si>
  <si>
    <t>稼働率</t>
  </si>
  <si>
    <t>📌 全機器合計</t>
  </si>
  <si>
    <t>🟢 良好：稼働率 70%以上</t>
  </si>
  <si>
    <t>🟡 普通：稼働率 40〜70%</t>
  </si>
  <si>
    <t>🔴 要改善：稼働率 40%未満</t>
  </si>
  <si>
    <t>💰  月次 経費・人件費 管理  第3期 2026年5月〜2027年4月</t>
  </si>
  <si>
    <t>🔌  月次 固定費（光熱費・通信費）</t>
  </si>
  <si>
    <t>項目</t>
  </si>
  <si>
    <t>合計</t>
  </si>
  <si>
    <t>ガス</t>
  </si>
  <si>
    <t>電気</t>
  </si>
  <si>
    <t>水道</t>
  </si>
  <si>
    <r>
      <rPr>
        <rFont val="Arial"/>
        <b/>
        <color rgb="FF1B5E20"/>
        <sz val="10.0"/>
      </rPr>
      <t>WiFi</t>
    </r>
    <r>
      <rPr>
        <rFont val="Noto Sans CJK SC"/>
        <b/>
        <color rgb="FF1B5E20"/>
        <sz val="10.0"/>
      </rPr>
      <t>・通信費</t>
    </r>
  </si>
  <si>
    <t>その他経費（消耗品など）</t>
  </si>
  <si>
    <t>📌 月計</t>
  </si>
  <si>
    <t>下里清代</t>
  </si>
  <si>
    <t>岡村</t>
  </si>
  <si>
    <t>👷  清掃 人件費記録（バイト時給 ¥1,100 / 岡村 無給）</t>
  </si>
  <si>
    <t>日付</t>
  </si>
  <si>
    <t>担当者</t>
  </si>
  <si>
    <t>開始</t>
  </si>
  <si>
    <t>終了</t>
  </si>
  <si>
    <t>時間(h)</t>
  </si>
  <si>
    <t>時給</t>
  </si>
  <si>
    <t>人件費</t>
  </si>
  <si>
    <t>メモ</t>
  </si>
  <si>
    <t>📌 人件費 合計</t>
  </si>
  <si>
    <t>💡 担当者：「岡村」→ 時給¥0　バイト → 自動で¥1,100適用</t>
  </si>
  <si>
    <t>📋  月次 損益サマリー（P&amp;L）  第3期 2027年5月〜2028年4月</t>
  </si>
  <si>
    <t>月平均</t>
  </si>
  <si>
    <t xml:space="preserve">  売上合計</t>
  </si>
  <si>
    <t xml:space="preserve">  ガス</t>
  </si>
  <si>
    <t xml:space="preserve">  電気</t>
  </si>
  <si>
    <t xml:space="preserve">  水道</t>
  </si>
  <si>
    <r>
      <rPr>
        <rFont val="Arial"/>
        <color rgb="FF000000"/>
        <sz val="10.0"/>
      </rPr>
      <t xml:space="preserve">  WiFi</t>
    </r>
    <r>
      <rPr>
        <rFont val="Noto Sans CJK SC"/>
        <color rgb="FF000000"/>
        <sz val="10.0"/>
      </rPr>
      <t>・通信費</t>
    </r>
  </si>
  <si>
    <t xml:space="preserve">  その他経費</t>
  </si>
  <si>
    <t xml:space="preserve">  経費合計</t>
  </si>
  <si>
    <t xml:space="preserve">  人件費（バイト）</t>
  </si>
  <si>
    <t xml:space="preserve">  岡村 稼働時間（参考）</t>
  </si>
  <si>
    <t>📌 総経費合計</t>
  </si>
  <si>
    <t>💹 営業利益</t>
  </si>
  <si>
    <t xml:space="preserve">  利益率</t>
  </si>
  <si>
    <t>💡 売上は「📊売上入力」から自動反映。経費は「💰経費・人件費」に入力してください。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</si>
</sst>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"/>
    <numFmt numFmtId="165" formatCode="\¥#,##0"/>
    <numFmt numFmtId="166" formatCode="0.0%"/>
    <numFmt numFmtId="167" formatCode="yyyy年m月"/>
    <numFmt numFmtId="168" formatCode="0.0"/>
    <numFmt numFmtId="169" formatCode="#,##0.0"/>
    <numFmt numFmtId="170" formatCode="¥#,##0"/>
    <numFmt numFmtId="171" formatCode="[h]:mm"/>
    <numFmt numFmtId="172" formatCode="yyyy/mm/dd"/>
    <numFmt numFmtId="173" formatCode="hh:mm"/>
  </numFmts>
  <fonts count="65">
    <font>
      <sz val="11.0"/>
      <color theme="1"/>
      <name val="Calibri"/>
      <scheme val="minor"/>
    </font>
    <font>
      <b/>
      <sz val="18.0"/>
      <color rgb="FFFFFFFF"/>
      <name val="Noto Sans"/>
    </font>
    <font/>
    <font>
      <sz val="11.0"/>
      <color theme="1"/>
      <name val="Calibri"/>
    </font>
    <font>
      <i/>
      <sz val="10.0"/>
      <color rgb="FF595959"/>
      <name val="Noto Sans"/>
    </font>
    <font>
      <b/>
      <sz val="12.0"/>
      <color rgb="FFFFFFFF"/>
      <name val="Noto Sans"/>
    </font>
    <font>
      <b/>
      <sz val="10.0"/>
      <color rgb="FFFFFFFF"/>
      <name val="Noto Sans"/>
    </font>
    <font>
      <sz val="10.0"/>
      <color rgb="FF000000"/>
      <name val="Noto Sans"/>
    </font>
    <font>
      <sz val="10.0"/>
      <color rgb="FF000000"/>
      <name val="Arial"/>
    </font>
    <font>
      <b/>
      <sz val="10.0"/>
      <color rgb="FFFFFFFF"/>
      <name val="Arial"/>
    </font>
    <font>
      <b/>
      <sz val="10.0"/>
      <color rgb="FF000000"/>
      <name val="Noto Sans"/>
    </font>
    <font>
      <i/>
      <sz val="9.0"/>
      <color rgb="FF595959"/>
      <name val="Noto Sans"/>
    </font>
    <font>
      <b/>
      <sz val="15.0"/>
      <color rgb="FFFFFFFF"/>
      <name val="Noto Sans"/>
    </font>
    <font>
      <b/>
      <sz val="11.0"/>
      <color rgb="FFFFFFFF"/>
      <name val="Meiryo"/>
    </font>
    <font>
      <b/>
      <sz val="11.0"/>
      <color rgb="FFFFFFFF"/>
      <name val="Noto Sans"/>
    </font>
    <font>
      <b/>
      <sz val="9.0"/>
      <color rgb="FFFFFFFF"/>
      <name val="Noto Sans"/>
    </font>
    <font>
      <b/>
      <sz val="9.0"/>
      <color rgb="FF595959"/>
      <name val="Noto Sans"/>
    </font>
    <font>
      <sz val="11.0"/>
      <color rgb="FF0000FF"/>
      <name val="Meiryo"/>
    </font>
    <font>
      <b/>
      <sz val="10.0"/>
      <color rgb="FF1F3864"/>
      <name val="Noto Sans"/>
    </font>
    <font>
      <b/>
      <sz val="9.0"/>
      <color rgb="FF0000FF"/>
      <name val="Meiryo"/>
    </font>
    <font>
      <b/>
      <sz val="9.0"/>
      <color rgb="FFFFFFFF"/>
      <name val="Meiryo"/>
    </font>
    <font>
      <b/>
      <sz val="10.0"/>
      <color rgb="FF4A148C"/>
      <name val="Arial"/>
    </font>
    <font>
      <b/>
      <sz val="11.0"/>
      <color rgb="FF4A148C"/>
      <name val="Meiryo"/>
    </font>
    <font>
      <sz val="10.0"/>
      <color rgb="FF4A148C"/>
      <name val="Noto Sans"/>
    </font>
    <font>
      <sz val="11.0"/>
      <color rgb="FF4A148C"/>
      <name val="Meiryo"/>
    </font>
    <font>
      <b/>
      <sz val="16.0"/>
      <color rgb="FFFFFFFF"/>
      <name val="Noto Sans"/>
    </font>
    <font>
      <b/>
      <sz val="18.0"/>
      <color rgb="FF2E75B6"/>
      <name val="Arial"/>
    </font>
    <font>
      <b/>
      <sz val="18.0"/>
      <color rgb="FF1F3864"/>
      <name val="Arial"/>
    </font>
    <font>
      <b/>
      <sz val="18.0"/>
      <color rgb="FF00B0A0"/>
      <name val="Arial"/>
    </font>
    <font>
      <sz val="11.0"/>
      <color rgb="FF000000"/>
      <name val="Meiryo"/>
    </font>
    <font>
      <b/>
      <sz val="11.0"/>
      <color rgb="FF1F3864"/>
      <name val="Noto Sans"/>
    </font>
    <font>
      <b/>
      <sz val="11.0"/>
      <color rgb="FF1F3864"/>
      <name val="Meiryo"/>
    </font>
    <font>
      <sz val="10.0"/>
      <color theme="1"/>
      <name val="Meiryo"/>
    </font>
    <font>
      <b/>
      <sz val="11.0"/>
      <color rgb="FF1F3864"/>
      <name val="Arial"/>
    </font>
    <font>
      <sz val="10.0"/>
      <color theme="1"/>
      <name val="Noto Sans"/>
    </font>
    <font>
      <b/>
      <sz val="11.0"/>
      <color rgb="FFFFFFFF"/>
      <name val="Arial"/>
    </font>
    <font>
      <b/>
      <sz val="11.0"/>
      <color rgb="FF000000"/>
      <name val="Meiryo"/>
    </font>
    <font>
      <sz val="9.0"/>
      <color rgb="FF595959"/>
      <name val="Noto Sans"/>
    </font>
    <font>
      <b/>
      <sz val="10.0"/>
      <color rgb="FFFFFFFF"/>
      <name val="Meiryo"/>
    </font>
    <font>
      <sz val="10.0"/>
      <color rgb="FF000000"/>
      <name val="Meiryo"/>
    </font>
    <font>
      <b/>
      <sz val="11.0"/>
      <color rgb="FF0000FF"/>
      <name val="Meiryo"/>
    </font>
    <font>
      <b/>
      <sz val="10.0"/>
      <color rgb="FF0000FF"/>
      <name val="Meiryo"/>
    </font>
    <font>
      <sz val="9.0"/>
      <color rgb="FF595959"/>
      <name val="Meiryo"/>
    </font>
    <font>
      <sz val="9.0"/>
      <color rgb="FF000000"/>
      <name val="Noto Sans"/>
    </font>
    <font>
      <b/>
      <sz val="10.0"/>
      <color rgb="FF1B5E20"/>
      <name val="Noto Sans"/>
    </font>
    <font>
      <b/>
      <sz val="10.0"/>
      <color rgb="FF0000FF"/>
      <name val="Arial"/>
    </font>
    <font>
      <b/>
      <sz val="10.0"/>
      <color rgb="FF1B5E20"/>
      <name val="Arial"/>
    </font>
    <font>
      <sz val="10.0"/>
      <color rgb="FF1B5E20"/>
      <name val="Noto Sans"/>
    </font>
    <font>
      <b/>
      <color rgb="FFFFFFFF"/>
      <name val="Noto Sans"/>
    </font>
    <font>
      <color theme="1"/>
      <name val="Noto Sans"/>
    </font>
    <font>
      <color theme="1"/>
      <name val="Arial"/>
    </font>
    <font>
      <b/>
      <color rgb="FFFFFFFF"/>
      <name val="Arial"/>
    </font>
    <font>
      <sz val="10.0"/>
      <color rgb="FF0000FF"/>
      <name val="Arial"/>
    </font>
    <font>
      <sz val="10.0"/>
      <color rgb="FF0000FF"/>
      <name val="Noto Sans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1F3864"/>
      <name val="Arial"/>
    </font>
    <font>
      <b/>
      <sz val="10.0"/>
      <color rgb="FF000000"/>
      <name val="Arial"/>
    </font>
    <font>
      <b/>
      <sz val="11.0"/>
      <color theme="1"/>
      <name val="Calibri"/>
    </font>
    <font>
      <sz val="10.0"/>
      <color rgb="FF595959"/>
      <name val="Noto Sans"/>
    </font>
    <font>
      <b/>
      <sz val="10.0"/>
      <color rgb="FF595959"/>
      <name val="Arial"/>
    </font>
    <font>
      <b/>
      <sz val="10.0"/>
      <color rgb="FF595959"/>
      <name val="Noto Sans"/>
    </font>
    <font>
      <sz val="11.0"/>
      <color rgb="FFFFFFFF"/>
      <name val="Calibri"/>
    </font>
    <font>
      <sz val="10.0"/>
      <color rgb="FF2E75B6"/>
      <name val="Noto Sans"/>
    </font>
    <font>
      <b/>
      <sz val="10.0"/>
      <color rgb="FF2E75B6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6E4F0"/>
        <bgColor rgb="FFD6E4F0"/>
      </patternFill>
    </fill>
    <fill>
      <patternFill patternType="solid">
        <fgColor rgb="FF2E75B6"/>
        <bgColor rgb="FF2E75B6"/>
      </patternFill>
    </fill>
    <fill>
      <patternFill patternType="solid">
        <fgColor rgb="FFF3E5F5"/>
        <bgColor rgb="FFF3E5F5"/>
      </patternFill>
    </fill>
    <fill>
      <patternFill patternType="solid">
        <fgColor rgb="FFE2F4F2"/>
        <bgColor rgb="FFE2F4F2"/>
      </patternFill>
    </fill>
    <fill>
      <patternFill patternType="solid">
        <fgColor rgb="FFE8F5E9"/>
        <bgColor rgb="FFE8F5E9"/>
      </patternFill>
    </fill>
    <fill>
      <patternFill patternType="solid">
        <fgColor rgb="FFF5F5F5"/>
        <bgColor rgb="FFF5F5F5"/>
      </patternFill>
    </fill>
    <fill>
      <patternFill patternType="solid">
        <fgColor rgb="FFFCE4EC"/>
        <bgColor rgb="FFFCE4EC"/>
      </patternFill>
    </fill>
    <fill>
      <patternFill patternType="solid">
        <fgColor rgb="FF595959"/>
        <bgColor rgb="FF595959"/>
      </patternFill>
    </fill>
    <fill>
      <patternFill patternType="solid">
        <fgColor rgb="FFFFF9C4"/>
        <bgColor rgb="FFFFF9C4"/>
      </patternFill>
    </fill>
    <fill>
      <patternFill patternType="solid">
        <fgColor rgb="FFFFFFFF"/>
        <bgColor rgb="FFFFFFFF"/>
      </patternFill>
    </fill>
    <fill>
      <patternFill patternType="solid">
        <fgColor rgb="FF00B0A0"/>
        <bgColor rgb="FF00B0A0"/>
      </patternFill>
    </fill>
    <fill>
      <patternFill patternType="solid">
        <fgColor rgb="FFFFF3E0"/>
        <bgColor rgb="FFFFF3E0"/>
      </patternFill>
    </fill>
    <fill>
      <patternFill patternType="solid">
        <fgColor rgb="FF4A148C"/>
        <bgColor rgb="FF4A148C"/>
      </patternFill>
    </fill>
    <fill>
      <patternFill patternType="solid">
        <fgColor rgb="FFEDE7F6"/>
        <bgColor rgb="FFEDE7F6"/>
      </patternFill>
    </fill>
    <fill>
      <patternFill patternType="solid">
        <fgColor rgb="FFFFEBEE"/>
        <bgColor rgb="FFFFEBEE"/>
      </patternFill>
    </fill>
    <fill>
      <patternFill patternType="solid">
        <fgColor rgb="FF1B5E20"/>
        <bgColor rgb="FF1B5E20"/>
      </patternFill>
    </fill>
    <fill>
      <patternFill patternType="solid">
        <fgColor rgb="FF388E3C"/>
        <bgColor rgb="FF388E3C"/>
      </patternFill>
    </fill>
    <fill>
      <patternFill patternType="solid">
        <fgColor rgb="FF2E7D32"/>
        <bgColor rgb="FF2E7D32"/>
      </patternFill>
    </fill>
    <fill>
      <patternFill patternType="solid">
        <fgColor rgb="FFFFF2CC"/>
        <bgColor rgb="FFFFF2CC"/>
      </patternFill>
    </fill>
    <fill>
      <patternFill patternType="solid">
        <fgColor rgb="FFC2185B"/>
        <bgColor rgb="FFC2185B"/>
      </patternFill>
    </fill>
    <fill>
      <patternFill patternType="solid">
        <fgColor rgb="FFFFF0F5"/>
        <bgColor rgb="FFFFF0F5"/>
      </patternFill>
    </fill>
    <fill>
      <patternFill patternType="solid">
        <fgColor rgb="FF880E4F"/>
        <bgColor rgb="FF880E4F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  <border>
      <left style="thin">
        <color rgb="FFBDBDBD"/>
      </left>
      <right style="thin">
        <color rgb="FFBDBDBD"/>
      </right>
      <top style="thin">
        <color rgb="FFBDBDBD"/>
      </top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left" shrinkToFit="0" vertical="center" wrapText="1"/>
    </xf>
    <xf borderId="4" fillId="3" fontId="8" numFmtId="0" xfId="0" applyAlignment="1" applyBorder="1" applyFont="1">
      <alignment horizontal="left" shrinkToFit="0" vertical="center" wrapText="1"/>
    </xf>
    <xf borderId="4" fillId="5" fontId="7" numFmtId="0" xfId="0" applyAlignment="1" applyBorder="1" applyFill="1" applyFont="1">
      <alignment horizontal="left" shrinkToFit="0" vertical="center" wrapText="1"/>
    </xf>
    <xf borderId="4" fillId="5" fontId="8" numFmtId="0" xfId="0" applyAlignment="1" applyBorder="1" applyFont="1">
      <alignment horizontal="left" shrinkToFit="0" vertical="center" wrapText="1"/>
    </xf>
    <xf borderId="4" fillId="6" fontId="7" numFmtId="0" xfId="0" applyAlignment="1" applyBorder="1" applyFill="1" applyFont="1">
      <alignment horizontal="left" shrinkToFit="0" vertical="center" wrapText="1"/>
    </xf>
    <xf borderId="4" fillId="7" fontId="7" numFmtId="0" xfId="0" applyAlignment="1" applyBorder="1" applyFill="1" applyFont="1">
      <alignment horizontal="left" shrinkToFit="0" vertical="center" wrapText="1"/>
    </xf>
    <xf borderId="4" fillId="8" fontId="7" numFmtId="0" xfId="0" applyAlignment="1" applyBorder="1" applyFill="1" applyFont="1">
      <alignment horizontal="left" shrinkToFit="0" vertical="center" wrapText="1"/>
    </xf>
    <xf borderId="4" fillId="9" fontId="7" numFmtId="0" xfId="0" applyAlignment="1" applyBorder="1" applyFill="1" applyFont="1">
      <alignment horizontal="left" shrinkToFit="0" vertical="center" wrapText="1"/>
    </xf>
    <xf borderId="4" fillId="4" fontId="9" numFmtId="0" xfId="0" applyAlignment="1" applyBorder="1" applyFont="1">
      <alignment horizontal="center" shrinkToFit="0" vertical="center" wrapText="1"/>
    </xf>
    <xf borderId="4" fillId="3" fontId="10" numFmtId="0" xfId="0" applyAlignment="1" applyBorder="1" applyFont="1">
      <alignment horizontal="left" shrinkToFit="0" vertical="center" wrapText="1"/>
    </xf>
    <xf borderId="4" fillId="8" fontId="11" numFmtId="0" xfId="0" applyAlignment="1" applyBorder="1" applyFont="1">
      <alignment horizontal="left" shrinkToFit="0" vertical="center" wrapText="1"/>
    </xf>
    <xf borderId="1" fillId="10" fontId="5" numFmtId="0" xfId="0" applyAlignment="1" applyBorder="1" applyFill="1" applyFont="1">
      <alignment horizontal="center" shrinkToFit="0" vertical="center" wrapText="1"/>
    </xf>
    <xf borderId="4" fillId="11" fontId="10" numFmtId="0" xfId="0" applyAlignment="1" applyBorder="1" applyFill="1" applyFont="1">
      <alignment horizontal="center" shrinkToFit="0" vertical="center" wrapText="1"/>
    </xf>
    <xf borderId="4" fillId="11" fontId="7" numFmtId="0" xfId="0" applyAlignment="1" applyBorder="1" applyFont="1">
      <alignment horizontal="left" shrinkToFit="0" vertical="center" wrapText="1"/>
    </xf>
    <xf borderId="4" fillId="11" fontId="3" numFmtId="0" xfId="0" applyAlignment="1" applyBorder="1" applyFont="1">
      <alignment shrinkToFit="0" vertical="bottom" wrapText="0"/>
    </xf>
    <xf borderId="4" fillId="12" fontId="10" numFmtId="0" xfId="0" applyAlignment="1" applyBorder="1" applyFill="1" applyFont="1">
      <alignment horizontal="center" shrinkToFit="0" vertical="center" wrapText="1"/>
    </xf>
    <xf borderId="4" fillId="12" fontId="7" numFmtId="0" xfId="0" applyAlignment="1" applyBorder="1" applyFont="1">
      <alignment horizontal="left" shrinkToFit="0" vertical="center" wrapText="1"/>
    </xf>
    <xf borderId="4" fillId="12" fontId="3" numFmtId="0" xfId="0" applyAlignment="1" applyBorder="1" applyFont="1">
      <alignment shrinkToFit="0" vertical="bottom" wrapText="0"/>
    </xf>
    <xf borderId="4" fillId="3" fontId="10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shrinkToFit="0" vertical="bottom" wrapText="0"/>
    </xf>
    <xf borderId="4" fillId="6" fontId="10" numFmtId="0" xfId="0" applyAlignment="1" applyBorder="1" applyFont="1">
      <alignment horizontal="center" shrinkToFit="0" vertical="center" wrapText="1"/>
    </xf>
    <xf borderId="4" fillId="6" fontId="3" numFmtId="0" xfId="0" applyAlignment="1" applyBorder="1" applyFont="1">
      <alignment shrinkToFit="0" vertical="bottom" wrapText="0"/>
    </xf>
    <xf borderId="4" fillId="5" fontId="10" numFmtId="0" xfId="0" applyAlignment="1" applyBorder="1" applyFont="1">
      <alignment horizontal="center" shrinkToFit="0" vertical="center" wrapText="1"/>
    </xf>
    <xf borderId="4" fillId="5" fontId="3" numFmtId="0" xfId="0" applyAlignment="1" applyBorder="1" applyFont="1">
      <alignment shrinkToFit="0" vertical="bottom" wrapText="0"/>
    </xf>
    <xf borderId="4" fillId="7" fontId="10" numFmtId="0" xfId="0" applyAlignment="1" applyBorder="1" applyFont="1">
      <alignment horizontal="center" shrinkToFit="0" vertical="center" wrapText="1"/>
    </xf>
    <xf borderId="4" fillId="7" fontId="3" numFmtId="0" xfId="0" applyAlignment="1" applyBorder="1" applyFont="1">
      <alignment shrinkToFit="0" vertical="bottom" wrapText="0"/>
    </xf>
    <xf borderId="4" fillId="9" fontId="10" numFmtId="0" xfId="0" applyAlignment="1" applyBorder="1" applyFont="1">
      <alignment horizontal="center" shrinkToFit="0" vertical="center" wrapText="1"/>
    </xf>
    <xf borderId="4" fillId="9" fontId="3" numFmtId="0" xfId="0" applyAlignment="1" applyBorder="1" applyFont="1">
      <alignment shrinkToFit="0" vertical="bottom" wrapText="0"/>
    </xf>
    <xf borderId="1" fillId="2" fontId="12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1" fillId="4" fontId="13" numFmtId="0" xfId="0" applyAlignment="1" applyBorder="1" applyFont="1">
      <alignment horizontal="center" shrinkToFit="0" vertical="center" wrapText="0"/>
    </xf>
    <xf borderId="6" fillId="0" fontId="2" numFmtId="0" xfId="0" applyBorder="1" applyFont="1"/>
    <xf borderId="5" fillId="13" fontId="13" numFmtId="0" xfId="0" applyAlignment="1" applyBorder="1" applyFill="1" applyFont="1">
      <alignment horizontal="center" readingOrder="0" shrinkToFit="0" vertical="center" wrapText="1"/>
    </xf>
    <xf borderId="1" fillId="2" fontId="13" numFmtId="0" xfId="0" applyAlignment="1" applyBorder="1" applyFont="1">
      <alignment horizontal="center" shrinkToFit="0" vertical="center" wrapText="0"/>
    </xf>
    <xf borderId="1" fillId="4" fontId="13" numFmtId="0" xfId="0" applyAlignment="1" applyBorder="1" applyFont="1">
      <alignment horizontal="center" readingOrder="0" shrinkToFit="0" vertical="center" wrapText="0"/>
    </xf>
    <xf borderId="5" fillId="13" fontId="14" numFmtId="0" xfId="0" applyAlignment="1" applyBorder="1" applyFont="1">
      <alignment horizontal="center" readingOrder="0" shrinkToFit="0" vertical="center" wrapText="1"/>
    </xf>
    <xf borderId="5" fillId="2" fontId="15" numFmtId="0" xfId="0" applyAlignment="1" applyBorder="1" applyFont="1">
      <alignment horizontal="center" shrinkToFit="0" vertical="center" wrapText="1"/>
    </xf>
    <xf borderId="5" fillId="4" fontId="14" numFmtId="0" xfId="0" applyAlignment="1" applyBorder="1" applyFont="1">
      <alignment horizontal="center" shrinkToFit="0" vertical="center" wrapText="0"/>
    </xf>
    <xf borderId="7" fillId="13" fontId="14" numFmtId="0" xfId="0" applyAlignment="1" applyBorder="1" applyFont="1">
      <alignment horizontal="center" shrinkToFit="0" vertical="center" wrapText="0"/>
    </xf>
    <xf borderId="5" fillId="2" fontId="14" numFmtId="0" xfId="0" applyAlignment="1" applyBorder="1" applyFont="1">
      <alignment horizontal="center" shrinkToFit="0" vertical="center" wrapText="0"/>
    </xf>
    <xf borderId="5" fillId="14" fontId="16" numFmtId="0" xfId="0" applyAlignment="1" applyBorder="1" applyFill="1" applyFont="1">
      <alignment horizontal="center" shrinkToFit="0" vertical="center" wrapText="1"/>
    </xf>
    <xf borderId="5" fillId="11" fontId="17" numFmtId="164" xfId="0" applyAlignment="1" applyBorder="1" applyFont="1" applyNumberFormat="1">
      <alignment horizontal="center" readingOrder="0" shrinkToFit="0" vertical="center" wrapText="0"/>
    </xf>
    <xf borderId="5" fillId="11" fontId="17" numFmtId="164" xfId="0" applyAlignment="1" applyBorder="1" applyFont="1" applyNumberFormat="1">
      <alignment horizontal="center" shrinkToFit="0" vertical="center" wrapText="0"/>
    </xf>
    <xf borderId="8" fillId="0" fontId="2" numFmtId="0" xfId="0" applyBorder="1" applyFont="1"/>
    <xf borderId="5" fillId="3" fontId="18" numFmtId="0" xfId="0" applyAlignment="1" applyBorder="1" applyFont="1">
      <alignment horizontal="left" readingOrder="0" shrinkToFit="0" vertical="center" wrapText="0"/>
    </xf>
    <xf borderId="5" fillId="11" fontId="19" numFmtId="3" xfId="0" applyAlignment="1" applyBorder="1" applyFont="1" applyNumberFormat="1">
      <alignment horizontal="right" readingOrder="0" shrinkToFit="0" vertical="center" wrapText="0"/>
    </xf>
    <xf borderId="5" fillId="11" fontId="19" numFmtId="3" xfId="0" applyAlignment="1" applyBorder="1" applyFont="1" applyNumberFormat="1">
      <alignment horizontal="right" shrinkToFit="0" vertical="center" wrapText="0"/>
    </xf>
    <xf borderId="5" fillId="13" fontId="20" numFmtId="3" xfId="0" applyAlignment="1" applyBorder="1" applyFont="1" applyNumberFormat="1">
      <alignment horizontal="right" shrinkToFit="0" vertical="center" wrapText="0"/>
    </xf>
    <xf borderId="5" fillId="6" fontId="18" numFmtId="0" xfId="0" applyAlignment="1" applyBorder="1" applyFont="1">
      <alignment horizontal="left" readingOrder="0" shrinkToFit="0" vertical="center" wrapText="0"/>
    </xf>
    <xf borderId="5" fillId="5" fontId="18" numFmtId="0" xfId="0" applyAlignment="1" applyBorder="1" applyFont="1">
      <alignment horizontal="left" readingOrder="0" shrinkToFit="0" vertical="center" wrapText="0"/>
    </xf>
    <xf borderId="5" fillId="2" fontId="13" numFmtId="3" xfId="0" applyAlignment="1" applyBorder="1" applyFont="1" applyNumberFormat="1">
      <alignment horizontal="right" shrinkToFit="0" vertical="center" wrapText="0"/>
    </xf>
    <xf borderId="5" fillId="13" fontId="13" numFmtId="3" xfId="0" applyAlignment="1" applyBorder="1" applyFont="1" applyNumberFormat="1">
      <alignment horizontal="right" shrinkToFit="0" vertical="center" wrapText="0"/>
    </xf>
    <xf borderId="1" fillId="15" fontId="14" numFmtId="0" xfId="0" applyAlignment="1" applyBorder="1" applyFill="1" applyFont="1">
      <alignment horizontal="center" shrinkToFit="0" vertical="center" wrapText="1"/>
    </xf>
    <xf borderId="5" fillId="5" fontId="21" numFmtId="0" xfId="0" applyAlignment="1" applyBorder="1" applyFont="1">
      <alignment horizontal="left" shrinkToFit="0" vertical="center" wrapText="1"/>
    </xf>
    <xf borderId="5" fillId="16" fontId="22" numFmtId="3" xfId="0" applyAlignment="1" applyBorder="1" applyFill="1" applyFont="1" applyNumberFormat="1">
      <alignment horizontal="right" readingOrder="0" shrinkToFit="0" vertical="center" wrapText="0"/>
    </xf>
    <xf borderId="5" fillId="16" fontId="22" numFmtId="3" xfId="0" applyAlignment="1" applyBorder="1" applyFont="1" applyNumberFormat="1">
      <alignment horizontal="right" shrinkToFit="0" vertical="center" wrapText="0"/>
    </xf>
    <xf borderId="5" fillId="15" fontId="13" numFmtId="3" xfId="0" applyAlignment="1" applyBorder="1" applyFont="1" applyNumberFormat="1">
      <alignment horizontal="right" shrinkToFit="0" vertical="center" wrapText="0"/>
    </xf>
    <xf borderId="5" fillId="5" fontId="23" numFmtId="0" xfId="0" applyAlignment="1" applyBorder="1" applyFont="1">
      <alignment horizontal="left" shrinkToFit="0" vertical="center" wrapText="1"/>
    </xf>
    <xf borderId="5" fillId="5" fontId="24" numFmtId="3" xfId="0" applyAlignment="1" applyBorder="1" applyFont="1" applyNumberFormat="1">
      <alignment horizontal="right" shrinkToFit="0" vertical="center" wrapText="0"/>
    </xf>
    <xf borderId="1" fillId="2" fontId="25" numFmtId="0" xfId="0" applyAlignment="1" applyBorder="1" applyFont="1">
      <alignment horizontal="center" shrinkToFit="0" vertical="center" wrapText="1"/>
    </xf>
    <xf borderId="1" fillId="4" fontId="14" numFmtId="0" xfId="0" applyAlignment="1" applyBorder="1" applyFont="1">
      <alignment horizontal="center" shrinkToFit="0" vertical="center" wrapText="1"/>
    </xf>
    <xf borderId="9" fillId="2" fontId="14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9" fillId="13" fontId="14" numFmtId="0" xfId="0" applyAlignment="1" applyBorder="1" applyFont="1">
      <alignment horizontal="center" shrinkToFit="0" vertical="center" wrapText="1"/>
    </xf>
    <xf borderId="1" fillId="3" fontId="26" numFmtId="165" xfId="0" applyAlignment="1" applyBorder="1" applyFont="1" applyNumberFormat="1">
      <alignment horizontal="center" shrinkToFit="0" vertical="center" wrapText="1"/>
    </xf>
    <xf borderId="9" fillId="8" fontId="27" numFmtId="165" xfId="0" applyAlignment="1" applyBorder="1" applyFont="1" applyNumberFormat="1">
      <alignment horizontal="center" shrinkToFit="0" vertical="center" wrapText="1"/>
    </xf>
    <xf borderId="9" fillId="6" fontId="28" numFmtId="166" xfId="0" applyAlignment="1" applyBorder="1" applyFont="1" applyNumberFormat="1">
      <alignment horizontal="center" shrinkToFit="0" vertical="center" wrapText="1"/>
    </xf>
    <xf borderId="5" fillId="8" fontId="29" numFmtId="167" xfId="0" applyAlignment="1" applyBorder="1" applyFont="1" applyNumberFormat="1">
      <alignment horizontal="left" readingOrder="0" shrinkToFit="0" vertical="center" wrapText="0"/>
    </xf>
    <xf borderId="5" fillId="3" fontId="29" numFmtId="3" xfId="0" applyAlignment="1" applyBorder="1" applyFont="1" applyNumberFormat="1">
      <alignment horizontal="right" shrinkToFit="0" vertical="center" wrapText="0"/>
    </xf>
    <xf borderId="5" fillId="7" fontId="29" numFmtId="3" xfId="0" applyAlignment="1" applyBorder="1" applyFont="1" applyNumberFormat="1">
      <alignment horizontal="right" shrinkToFit="0" vertical="center" wrapText="0"/>
    </xf>
    <xf borderId="5" fillId="12" fontId="29" numFmtId="167" xfId="0" applyAlignment="1" applyBorder="1" applyFont="1" applyNumberFormat="1">
      <alignment horizontal="left" readingOrder="0" shrinkToFit="0" vertical="center" wrapText="0"/>
    </xf>
    <xf borderId="5" fillId="4" fontId="14" numFmtId="0" xfId="0" applyAlignment="1" applyBorder="1" applyFont="1">
      <alignment horizontal="center" readingOrder="0" shrinkToFit="0" vertical="center" wrapText="0"/>
    </xf>
    <xf borderId="5" fillId="2" fontId="6" numFmtId="0" xfId="0" applyAlignment="1" applyBorder="1" applyFont="1">
      <alignment horizontal="center" readingOrder="0" shrinkToFit="0" vertical="center" wrapText="1"/>
    </xf>
    <xf borderId="5" fillId="3" fontId="30" numFmtId="0" xfId="0" applyAlignment="1" applyBorder="1" applyFont="1">
      <alignment horizontal="left" shrinkToFit="0" vertical="center" wrapText="0"/>
    </xf>
    <xf borderId="5" fillId="3" fontId="31" numFmtId="49" xfId="0" applyAlignment="1" applyBorder="1" applyFont="1" applyNumberFormat="1">
      <alignment horizontal="right" shrinkToFit="0" vertical="center" wrapText="0"/>
    </xf>
    <xf borderId="5" fillId="3" fontId="32" numFmtId="168" xfId="0" applyAlignment="1" applyBorder="1" applyFont="1" applyNumberFormat="1">
      <alignment horizontal="center" shrinkToFit="0" vertical="center" wrapText="0"/>
    </xf>
    <xf borderId="5" fillId="3" fontId="33" numFmtId="166" xfId="0" applyAlignment="1" applyBorder="1" applyFont="1" applyNumberFormat="1">
      <alignment horizontal="center" shrinkToFit="0" vertical="center" wrapText="1"/>
    </xf>
    <xf borderId="5" fillId="3" fontId="34" numFmtId="0" xfId="0" applyAlignment="1" applyBorder="1" applyFont="1">
      <alignment horizontal="center" shrinkToFit="0" vertical="center" wrapText="1"/>
    </xf>
    <xf borderId="5" fillId="6" fontId="30" numFmtId="0" xfId="0" applyAlignment="1" applyBorder="1" applyFont="1">
      <alignment horizontal="left" shrinkToFit="0" vertical="center" wrapText="0"/>
    </xf>
    <xf borderId="5" fillId="6" fontId="31" numFmtId="49" xfId="0" applyAlignment="1" applyBorder="1" applyFont="1" applyNumberFormat="1">
      <alignment horizontal="right" shrinkToFit="0" vertical="center" wrapText="0"/>
    </xf>
    <xf borderId="5" fillId="6" fontId="32" numFmtId="168" xfId="0" applyAlignment="1" applyBorder="1" applyFont="1" applyNumberFormat="1">
      <alignment horizontal="center" shrinkToFit="0" vertical="center" wrapText="0"/>
    </xf>
    <xf borderId="5" fillId="6" fontId="33" numFmtId="166" xfId="0" applyAlignment="1" applyBorder="1" applyFont="1" applyNumberFormat="1">
      <alignment horizontal="center" shrinkToFit="0" vertical="center" wrapText="1"/>
    </xf>
    <xf borderId="5" fillId="6" fontId="34" numFmtId="0" xfId="0" applyAlignment="1" applyBorder="1" applyFont="1">
      <alignment horizontal="center" shrinkToFit="0" vertical="center" wrapText="1"/>
    </xf>
    <xf borderId="5" fillId="5" fontId="30" numFmtId="0" xfId="0" applyAlignment="1" applyBorder="1" applyFont="1">
      <alignment horizontal="left" shrinkToFit="0" vertical="center" wrapText="0"/>
    </xf>
    <xf borderId="5" fillId="5" fontId="31" numFmtId="49" xfId="0" applyAlignment="1" applyBorder="1" applyFont="1" applyNumberFormat="1">
      <alignment horizontal="right" shrinkToFit="0" vertical="center" wrapText="0"/>
    </xf>
    <xf borderId="5" fillId="5" fontId="32" numFmtId="168" xfId="0" applyAlignment="1" applyBorder="1" applyFont="1" applyNumberFormat="1">
      <alignment horizontal="center" shrinkToFit="0" vertical="center" wrapText="0"/>
    </xf>
    <xf borderId="5" fillId="5" fontId="33" numFmtId="166" xfId="0" applyAlignment="1" applyBorder="1" applyFont="1" applyNumberFormat="1">
      <alignment horizontal="center" shrinkToFit="0" vertical="center" wrapText="1"/>
    </xf>
    <xf borderId="5" fillId="5" fontId="34" numFmtId="0" xfId="0" applyAlignment="1" applyBorder="1" applyFont="1">
      <alignment horizontal="center" shrinkToFit="0" vertical="center" wrapText="1"/>
    </xf>
    <xf borderId="5" fillId="2" fontId="14" numFmtId="0" xfId="0" applyAlignment="1" applyBorder="1" applyFont="1">
      <alignment horizontal="left" shrinkToFit="0" vertical="center" wrapText="0"/>
    </xf>
    <xf borderId="5" fillId="2" fontId="13" numFmtId="166" xfId="0" applyAlignment="1" applyBorder="1" applyFont="1" applyNumberFormat="1">
      <alignment horizontal="right" shrinkToFit="0" vertical="center" wrapText="0"/>
    </xf>
    <xf borderId="5" fillId="2" fontId="35" numFmtId="166" xfId="0" applyAlignment="1" applyBorder="1" applyFont="1" applyNumberFormat="1">
      <alignment horizontal="center" shrinkToFit="0" vertical="center" wrapText="1"/>
    </xf>
    <xf borderId="12" fillId="2" fontId="35" numFmtId="166" xfId="0" applyAlignment="1" applyBorder="1" applyFont="1" applyNumberFormat="1">
      <alignment horizontal="center" shrinkToFit="0" vertical="center" wrapText="1"/>
    </xf>
    <xf borderId="12" fillId="2" fontId="3" numFmtId="0" xfId="0" applyAlignment="1" applyBorder="1" applyFont="1">
      <alignment shrinkToFit="0" vertical="bottom" wrapText="0"/>
    </xf>
    <xf borderId="13" fillId="2" fontId="6" numFmtId="0" xfId="0" applyAlignment="1" applyBorder="1" applyFont="1">
      <alignment horizontal="center" shrinkToFit="0" vertical="center" wrapText="1"/>
    </xf>
    <xf borderId="5" fillId="8" fontId="36" numFmtId="167" xfId="0" applyAlignment="1" applyBorder="1" applyFont="1" applyNumberFormat="1">
      <alignment horizontal="left" readingOrder="0" shrinkToFit="0" vertical="center" wrapText="0"/>
    </xf>
    <xf borderId="5" fillId="6" fontId="29" numFmtId="3" xfId="0" applyAlignment="1" applyBorder="1" applyFont="1" applyNumberFormat="1">
      <alignment horizontal="right" shrinkToFit="0" vertical="center" wrapText="0"/>
    </xf>
    <xf borderId="5" fillId="3" fontId="31" numFmtId="3" xfId="0" applyAlignment="1" applyBorder="1" applyFont="1" applyNumberFormat="1">
      <alignment horizontal="right" shrinkToFit="0" vertical="center" wrapText="0"/>
    </xf>
    <xf borderId="5" fillId="5" fontId="29" numFmtId="3" xfId="0" applyAlignment="1" applyBorder="1" applyFont="1" applyNumberFormat="1">
      <alignment horizontal="right" shrinkToFit="0" vertical="center" wrapText="0"/>
    </xf>
    <xf borderId="5" fillId="8" fontId="29" numFmtId="0" xfId="0" applyAlignment="1" applyBorder="1" applyFont="1">
      <alignment horizontal="center" shrinkToFit="0" vertical="center" wrapText="0"/>
    </xf>
    <xf borderId="5" fillId="6" fontId="29" numFmtId="166" xfId="0" applyAlignment="1" applyBorder="1" applyFont="1" applyNumberFormat="1">
      <alignment horizontal="right" shrinkToFit="0" vertical="center" wrapText="0"/>
    </xf>
    <xf borderId="5" fillId="12" fontId="36" numFmtId="167" xfId="0" applyAlignment="1" applyBorder="1" applyFont="1" applyNumberFormat="1">
      <alignment horizontal="left" readingOrder="0" shrinkToFit="0" vertical="center" wrapText="0"/>
    </xf>
    <xf borderId="5" fillId="8" fontId="29" numFmtId="166" xfId="0" applyAlignment="1" applyBorder="1" applyFont="1" applyNumberFormat="1">
      <alignment horizontal="right" shrinkToFit="0" vertical="center" wrapText="0"/>
    </xf>
    <xf borderId="1" fillId="2" fontId="5" numFmtId="0" xfId="0" applyAlignment="1" applyBorder="1" applyFont="1">
      <alignment horizontal="left" readingOrder="0" shrinkToFit="0" vertical="center" wrapText="0"/>
    </xf>
    <xf borderId="5" fillId="12" fontId="32" numFmtId="0" xfId="0" applyAlignment="1" applyBorder="1" applyFont="1">
      <alignment shrinkToFit="0" vertical="bottom" wrapText="0"/>
    </xf>
    <xf borderId="1" fillId="3" fontId="37" numFmtId="0" xfId="0" applyAlignment="1" applyBorder="1" applyFont="1">
      <alignment horizontal="left" shrinkToFit="0" vertical="center" wrapText="0"/>
    </xf>
    <xf borderId="1" fillId="4" fontId="6" numFmtId="0" xfId="0" applyAlignment="1" applyBorder="1" applyFont="1">
      <alignment horizontal="left" shrinkToFit="0" vertical="center" wrapText="0"/>
    </xf>
    <xf borderId="5" fillId="4" fontId="6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horizontal="center" readingOrder="0" shrinkToFit="0" vertical="center" wrapText="1"/>
    </xf>
    <xf borderId="1" fillId="4" fontId="38" numFmtId="0" xfId="0" applyAlignment="1" applyBorder="1" applyFont="1">
      <alignment horizontal="center" readingOrder="0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5" fillId="3" fontId="39" numFmtId="0" xfId="0" applyAlignment="1" applyBorder="1" applyFont="1">
      <alignment horizontal="left" shrinkToFit="0" vertical="center" wrapText="0"/>
    </xf>
    <xf borderId="1" fillId="11" fontId="40" numFmtId="3" xfId="0" applyAlignment="1" applyBorder="1" applyFont="1" applyNumberFormat="1">
      <alignment horizontal="center" readingOrder="0" shrinkToFit="0" vertical="center" wrapText="0"/>
    </xf>
    <xf borderId="1" fillId="11" fontId="17" numFmtId="3" xfId="0" applyAlignment="1" applyBorder="1" applyFont="1" applyNumberFormat="1">
      <alignment horizontal="center" readingOrder="0" shrinkToFit="0" vertical="center" wrapText="0"/>
    </xf>
    <xf borderId="1" fillId="11" fontId="17" numFmtId="3" xfId="0" applyAlignment="1" applyBorder="1" applyFont="1" applyNumberFormat="1">
      <alignment horizontal="center" shrinkToFit="0" vertical="center" wrapText="0"/>
    </xf>
    <xf borderId="1" fillId="3" fontId="39" numFmtId="3" xfId="0" applyAlignment="1" applyBorder="1" applyFont="1" applyNumberFormat="1">
      <alignment horizontal="center" shrinkToFit="0" vertical="center" wrapText="0"/>
    </xf>
    <xf borderId="1" fillId="3" fontId="41" numFmtId="168" xfId="0" applyAlignment="1" applyBorder="1" applyFont="1" applyNumberFormat="1">
      <alignment horizontal="center" shrinkToFit="0" vertical="center" wrapText="0"/>
    </xf>
    <xf borderId="1" fillId="3" fontId="42" numFmtId="0" xfId="0" applyAlignment="1" applyBorder="1" applyFont="1">
      <alignment horizontal="left" readingOrder="0" shrinkToFit="0" vertical="center" wrapText="0"/>
    </xf>
    <xf borderId="1" fillId="12" fontId="32" numFmtId="0" xfId="0" applyAlignment="1" applyBorder="1" applyFont="1">
      <alignment shrinkToFit="0" vertical="bottom" wrapText="0"/>
    </xf>
    <xf borderId="5" fillId="6" fontId="39" numFmtId="0" xfId="0" applyAlignment="1" applyBorder="1" applyFont="1">
      <alignment horizontal="left" shrinkToFit="0" vertical="center" wrapText="0"/>
    </xf>
    <xf borderId="1" fillId="11" fontId="40" numFmtId="3" xfId="0" applyAlignment="1" applyBorder="1" applyFont="1" applyNumberFormat="1">
      <alignment horizontal="center" shrinkToFit="0" vertical="center" wrapText="0"/>
    </xf>
    <xf borderId="1" fillId="6" fontId="39" numFmtId="3" xfId="0" applyAlignment="1" applyBorder="1" applyFont="1" applyNumberFormat="1">
      <alignment horizontal="center" shrinkToFit="0" vertical="center" wrapText="0"/>
    </xf>
    <xf borderId="1" fillId="6" fontId="41" numFmtId="168" xfId="0" applyAlignment="1" applyBorder="1" applyFont="1" applyNumberFormat="1">
      <alignment horizontal="center" shrinkToFit="0" vertical="center" wrapText="0"/>
    </xf>
    <xf borderId="1" fillId="6" fontId="42" numFmtId="0" xfId="0" applyAlignment="1" applyBorder="1" applyFont="1">
      <alignment horizontal="left" shrinkToFit="0" vertical="center" wrapText="0"/>
    </xf>
    <xf borderId="5" fillId="5" fontId="39" numFmtId="0" xfId="0" applyAlignment="1" applyBorder="1" applyFont="1">
      <alignment horizontal="left" shrinkToFit="0" vertical="center" wrapText="0"/>
    </xf>
    <xf borderId="1" fillId="5" fontId="39" numFmtId="3" xfId="0" applyAlignment="1" applyBorder="1" applyFont="1" applyNumberFormat="1">
      <alignment horizontal="center" shrinkToFit="0" vertical="center" wrapText="0"/>
    </xf>
    <xf borderId="1" fillId="5" fontId="41" numFmtId="168" xfId="0" applyAlignment="1" applyBorder="1" applyFont="1" applyNumberFormat="1">
      <alignment horizontal="center" shrinkToFit="0" vertical="center" wrapText="0"/>
    </xf>
    <xf borderId="1" fillId="5" fontId="37" numFmtId="0" xfId="0" applyAlignment="1" applyBorder="1" applyFont="1">
      <alignment horizontal="left" shrinkToFit="0" vertical="center" wrapText="0"/>
    </xf>
    <xf borderId="1" fillId="14" fontId="37" numFmtId="0" xfId="0" applyAlignment="1" applyBorder="1" applyFont="1">
      <alignment horizontal="left" shrinkToFit="0" vertical="center" wrapText="0"/>
    </xf>
    <xf borderId="5" fillId="4" fontId="6" numFmtId="0" xfId="0" applyAlignment="1" applyBorder="1" applyFont="1">
      <alignment horizontal="left" shrinkToFit="0" vertical="center" wrapText="0"/>
    </xf>
    <xf borderId="1" fillId="11" fontId="40" numFmtId="1" xfId="0" applyAlignment="1" applyBorder="1" applyFont="1" applyNumberFormat="1">
      <alignment horizontal="center" shrinkToFit="0" vertical="center" wrapText="0"/>
    </xf>
    <xf borderId="5" fillId="8" fontId="32" numFmtId="0" xfId="0" applyAlignment="1" applyBorder="1" applyFont="1">
      <alignment shrinkToFit="0" vertical="bottom" wrapText="0"/>
    </xf>
    <xf borderId="7" fillId="2" fontId="6" numFmtId="0" xfId="0" applyAlignment="1" applyBorder="1" applyFont="1">
      <alignment horizontal="left" shrinkToFit="0" vertical="center" wrapText="0"/>
    </xf>
    <xf borderId="1" fillId="2" fontId="38" numFmtId="0" xfId="0" applyAlignment="1" applyBorder="1" applyFont="1">
      <alignment horizontal="center" shrinkToFit="0" vertical="center" wrapText="0"/>
    </xf>
    <xf borderId="1" fillId="4" fontId="38" numFmtId="0" xfId="0" applyAlignment="1" applyBorder="1" applyFont="1">
      <alignment horizontal="center" shrinkToFit="0" vertical="center" wrapText="0"/>
    </xf>
    <xf borderId="5" fillId="13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0"/>
    </xf>
    <xf borderId="5" fillId="4" fontId="6" numFmtId="165" xfId="0" applyAlignment="1" applyBorder="1" applyFont="1" applyNumberFormat="1">
      <alignment horizontal="center" shrinkToFit="0" vertical="center" wrapText="1"/>
    </xf>
    <xf borderId="5" fillId="4" fontId="6" numFmtId="169" xfId="0" applyAlignment="1" applyBorder="1" applyFont="1" applyNumberFormat="1">
      <alignment horizontal="center" shrinkToFit="0" vertical="center" wrapText="1"/>
    </xf>
    <xf borderId="5" fillId="4" fontId="6" numFmtId="166" xfId="0" applyAlignment="1" applyBorder="1" applyFont="1" applyNumberFormat="1">
      <alignment horizontal="center" shrinkToFit="0" vertical="center" wrapText="1"/>
    </xf>
    <xf borderId="5" fillId="2" fontId="6" numFmtId="165" xfId="0" applyAlignment="1" applyBorder="1" applyFont="1" applyNumberFormat="1">
      <alignment horizontal="center" shrinkToFit="0" vertical="center" wrapText="1"/>
    </xf>
    <xf borderId="5" fillId="2" fontId="6" numFmtId="169" xfId="0" applyAlignment="1" applyBorder="1" applyFont="1" applyNumberFormat="1">
      <alignment horizontal="center" shrinkToFit="0" vertical="center" wrapText="1"/>
    </xf>
    <xf borderId="5" fillId="2" fontId="6" numFmtId="166" xfId="0" applyAlignment="1" applyBorder="1" applyFont="1" applyNumberFormat="1">
      <alignment horizontal="center" shrinkToFit="0" vertical="center" wrapText="1"/>
    </xf>
    <xf borderId="5" fillId="13" fontId="32" numFmtId="0" xfId="0" applyAlignment="1" applyBorder="1" applyFont="1">
      <alignment shrinkToFit="0" vertical="bottom" wrapText="0"/>
    </xf>
    <xf borderId="5" fillId="2" fontId="32" numFmtId="0" xfId="0" applyAlignment="1" applyBorder="1" applyFont="1">
      <alignment shrinkToFit="0" vertical="bottom" wrapText="0"/>
    </xf>
    <xf borderId="5" fillId="3" fontId="18" numFmtId="0" xfId="0" applyAlignment="1" applyBorder="1" applyFont="1">
      <alignment horizontal="left" shrinkToFit="0" vertical="center" wrapText="0"/>
    </xf>
    <xf borderId="5" fillId="3" fontId="29" numFmtId="169" xfId="0" applyAlignment="1" applyBorder="1" applyFont="1" applyNumberFormat="1">
      <alignment horizontal="right" shrinkToFit="0" vertical="center" wrapText="0"/>
    </xf>
    <xf borderId="5" fillId="3" fontId="31" numFmtId="166" xfId="0" applyAlignment="1" applyBorder="1" applyFont="1" applyNumberFormat="1">
      <alignment horizontal="right" shrinkToFit="0" vertical="center" wrapText="0"/>
    </xf>
    <xf borderId="5" fillId="13" fontId="13" numFmtId="169" xfId="0" applyAlignment="1" applyBorder="1" applyFont="1" applyNumberFormat="1">
      <alignment horizontal="right" shrinkToFit="0" vertical="center" wrapText="0"/>
    </xf>
    <xf borderId="5" fillId="13" fontId="13" numFmtId="166" xfId="0" applyAlignment="1" applyBorder="1" applyFont="1" applyNumberFormat="1">
      <alignment horizontal="right" shrinkToFit="0" vertical="center" wrapText="0"/>
    </xf>
    <xf borderId="5" fillId="12" fontId="34" numFmtId="0" xfId="0" applyAlignment="1" applyBorder="1" applyFont="1">
      <alignment horizontal="center" shrinkToFit="0" vertical="center" wrapText="0"/>
    </xf>
    <xf borderId="5" fillId="6" fontId="18" numFmtId="0" xfId="0" applyAlignment="1" applyBorder="1" applyFont="1">
      <alignment horizontal="left" shrinkToFit="0" vertical="center" wrapText="0"/>
    </xf>
    <xf borderId="5" fillId="6" fontId="29" numFmtId="169" xfId="0" applyAlignment="1" applyBorder="1" applyFont="1" applyNumberFormat="1">
      <alignment horizontal="right" shrinkToFit="0" vertical="center" wrapText="0"/>
    </xf>
    <xf borderId="5" fillId="6" fontId="31" numFmtId="166" xfId="0" applyAlignment="1" applyBorder="1" applyFont="1" applyNumberFormat="1">
      <alignment horizontal="right" shrinkToFit="0" vertical="center" wrapText="0"/>
    </xf>
    <xf borderId="5" fillId="5" fontId="18" numFmtId="0" xfId="0" applyAlignment="1" applyBorder="1" applyFont="1">
      <alignment horizontal="left" shrinkToFit="0" vertical="center" wrapText="0"/>
    </xf>
    <xf borderId="5" fillId="5" fontId="29" numFmtId="169" xfId="0" applyAlignment="1" applyBorder="1" applyFont="1" applyNumberFormat="1">
      <alignment horizontal="right" shrinkToFit="0" vertical="center" wrapText="0"/>
    </xf>
    <xf borderId="5" fillId="5" fontId="31" numFmtId="166" xfId="0" applyAlignment="1" applyBorder="1" applyFont="1" applyNumberFormat="1">
      <alignment horizontal="right" shrinkToFit="0" vertical="center" wrapText="0"/>
    </xf>
    <xf borderId="5" fillId="2" fontId="6" numFmtId="0" xfId="0" applyAlignment="1" applyBorder="1" applyFont="1">
      <alignment horizontal="left" shrinkToFit="0" vertical="center" wrapText="0"/>
    </xf>
    <xf borderId="5" fillId="2" fontId="13" numFmtId="169" xfId="0" applyAlignment="1" applyBorder="1" applyFont="1" applyNumberFormat="1">
      <alignment horizontal="right" shrinkToFit="0" vertical="center" wrapText="0"/>
    </xf>
    <xf borderId="1" fillId="7" fontId="43" numFmtId="0" xfId="0" applyAlignment="1" applyBorder="1" applyFont="1">
      <alignment horizontal="left" shrinkToFit="0" vertical="center" wrapText="0"/>
    </xf>
    <xf borderId="1" fillId="11" fontId="43" numFmtId="0" xfId="0" applyAlignment="1" applyBorder="1" applyFont="1">
      <alignment horizontal="left" shrinkToFit="0" vertical="center" wrapText="0"/>
    </xf>
    <xf borderId="1" fillId="17" fontId="43" numFmtId="0" xfId="0" applyAlignment="1" applyBorder="1" applyFill="1" applyFont="1">
      <alignment horizontal="left" shrinkToFit="0" vertical="center" wrapText="0"/>
    </xf>
    <xf borderId="0" fillId="12" fontId="32" numFmtId="0" xfId="0" applyAlignment="1" applyFont="1">
      <alignment shrinkToFit="0" vertical="bottom" wrapText="0"/>
    </xf>
    <xf borderId="1" fillId="18" fontId="25" numFmtId="0" xfId="0" applyAlignment="1" applyBorder="1" applyFill="1" applyFont="1">
      <alignment horizontal="center" readingOrder="0" shrinkToFit="0" vertical="center" wrapText="1"/>
    </xf>
    <xf borderId="1" fillId="19" fontId="14" numFmtId="0" xfId="0" applyAlignment="1" applyBorder="1" applyFill="1" applyFont="1">
      <alignment horizontal="center" shrinkToFit="0" vertical="center" wrapText="1"/>
    </xf>
    <xf borderId="5" fillId="19" fontId="6" numFmtId="0" xfId="0" applyAlignment="1" applyBorder="1" applyFont="1">
      <alignment horizontal="center" shrinkToFit="0" vertical="center" wrapText="1"/>
    </xf>
    <xf borderId="5" fillId="19" fontId="20" numFmtId="167" xfId="0" applyAlignment="1" applyBorder="1" applyFont="1" applyNumberFormat="1">
      <alignment horizontal="center" readingOrder="0" shrinkToFit="0" vertical="center" wrapText="0"/>
    </xf>
    <xf borderId="5" fillId="20" fontId="20" numFmtId="167" xfId="0" applyAlignment="1" applyBorder="1" applyFill="1" applyFont="1" applyNumberFormat="1">
      <alignment horizontal="center" readingOrder="0" shrinkToFit="0" vertical="center" wrapText="0"/>
    </xf>
    <xf borderId="5" fillId="19" fontId="20" numFmtId="0" xfId="0" applyAlignment="1" applyBorder="1" applyFont="1">
      <alignment horizontal="center" readingOrder="0" shrinkToFit="0" vertical="center" wrapText="0"/>
    </xf>
    <xf borderId="5" fillId="7" fontId="44" numFmtId="0" xfId="0" applyAlignment="1" applyBorder="1" applyFont="1">
      <alignment horizontal="left" shrinkToFit="0" vertical="center" wrapText="0"/>
    </xf>
    <xf borderId="5" fillId="21" fontId="45" numFmtId="165" xfId="0" applyAlignment="1" applyBorder="1" applyFill="1" applyFont="1" applyNumberFormat="1">
      <alignment horizontal="center" readingOrder="0" shrinkToFit="0" vertical="center" wrapText="1"/>
    </xf>
    <xf borderId="5" fillId="21" fontId="45" numFmtId="165" xfId="0" applyAlignment="1" applyBorder="1" applyFont="1" applyNumberFormat="1">
      <alignment horizontal="center" shrinkToFit="0" vertical="center" wrapText="1"/>
    </xf>
    <xf borderId="5" fillId="21" fontId="40" numFmtId="3" xfId="0" applyAlignment="1" applyBorder="1" applyFont="1" applyNumberFormat="1">
      <alignment horizontal="right" shrinkToFit="0" vertical="center" wrapText="0"/>
    </xf>
    <xf borderId="5" fillId="7" fontId="46" numFmtId="3" xfId="0" applyAlignment="1" applyBorder="1" applyFont="1" applyNumberFormat="1">
      <alignment horizontal="right" shrinkToFit="0" vertical="center" wrapText="0"/>
    </xf>
    <xf borderId="5" fillId="7" fontId="46" numFmtId="0" xfId="0" applyAlignment="1" applyBorder="1" applyFont="1">
      <alignment horizontal="left" shrinkToFit="0" vertical="center" wrapText="0"/>
    </xf>
    <xf borderId="5" fillId="7" fontId="47" numFmtId="0" xfId="0" applyAlignment="1" applyBorder="1" applyFont="1">
      <alignment horizontal="left" shrinkToFit="0" vertical="center" wrapText="0"/>
    </xf>
    <xf borderId="5" fillId="18" fontId="6" numFmtId="0" xfId="0" applyAlignment="1" applyBorder="1" applyFont="1">
      <alignment horizontal="left" shrinkToFit="0" vertical="center" wrapText="0"/>
    </xf>
    <xf borderId="5" fillId="18" fontId="13" numFmtId="3" xfId="0" applyAlignment="1" applyBorder="1" applyFont="1" applyNumberFormat="1">
      <alignment horizontal="right" shrinkToFit="0" vertical="center" wrapText="0"/>
    </xf>
    <xf borderId="14" fillId="22" fontId="14" numFmtId="0" xfId="0" applyAlignment="1" applyBorder="1" applyFill="1" applyFont="1">
      <alignment horizontal="center" shrinkToFit="0" wrapText="1"/>
    </xf>
    <xf borderId="15" fillId="0" fontId="2" numFmtId="0" xfId="0" applyBorder="1" applyFont="1"/>
    <xf borderId="4" fillId="22" fontId="48" numFmtId="0" xfId="0" applyAlignment="1" applyBorder="1" applyFont="1">
      <alignment horizontal="center" shrinkToFit="0" wrapText="1"/>
    </xf>
    <xf borderId="4" fillId="22" fontId="9" numFmtId="167" xfId="0" applyAlignment="1" applyBorder="1" applyFont="1" applyNumberFormat="1">
      <alignment horizontal="center" readingOrder="0" shrinkToFit="0" wrapText="1"/>
    </xf>
    <xf borderId="13" fillId="9" fontId="49" numFmtId="0" xfId="0" applyAlignment="1" applyBorder="1" applyFont="1">
      <alignment vertical="center"/>
    </xf>
    <xf borderId="4" fillId="9" fontId="50" numFmtId="170" xfId="0" applyAlignment="1" applyBorder="1" applyFont="1" applyNumberFormat="1">
      <alignment horizontal="center" shrinkToFit="0" wrapText="1"/>
    </xf>
    <xf borderId="4" fillId="23" fontId="50" numFmtId="165" xfId="0" applyAlignment="1" applyBorder="1" applyFill="1" applyFont="1" applyNumberFormat="1">
      <alignment horizontal="center" shrinkToFit="0" wrapText="1"/>
    </xf>
    <xf borderId="12" fillId="0" fontId="2" numFmtId="0" xfId="0" applyBorder="1" applyFont="1"/>
    <xf borderId="4" fillId="9" fontId="50" numFmtId="171" xfId="0" applyAlignment="1" applyBorder="1" applyFont="1" applyNumberFormat="1">
      <alignment horizontal="center" shrinkToFit="0" wrapText="1"/>
    </xf>
    <xf borderId="4" fillId="23" fontId="50" numFmtId="171" xfId="0" applyAlignment="1" applyBorder="1" applyFont="1" applyNumberFormat="1">
      <alignment horizontal="center" shrinkToFit="0" wrapText="1"/>
    </xf>
    <xf borderId="13" fillId="9" fontId="3" numFmtId="0" xfId="0" applyAlignment="1" applyBorder="1" applyFont="1">
      <alignment readingOrder="0" vertical="center"/>
    </xf>
    <xf borderId="4" fillId="9" fontId="3" numFmtId="0" xfId="0" applyBorder="1" applyFont="1"/>
    <xf borderId="4" fillId="9" fontId="3" numFmtId="165" xfId="0" applyBorder="1" applyFont="1" applyNumberFormat="1"/>
    <xf borderId="4" fillId="22" fontId="48" numFmtId="0" xfId="0" applyBorder="1" applyFont="1"/>
    <xf borderId="4" fillId="22" fontId="51" numFmtId="165" xfId="0" applyAlignment="1" applyBorder="1" applyFont="1" applyNumberFormat="1">
      <alignment horizontal="center" shrinkToFit="0" wrapText="1"/>
    </xf>
    <xf borderId="1" fillId="22" fontId="14" numFmtId="0" xfId="0" applyAlignment="1" applyBorder="1" applyFont="1">
      <alignment horizontal="center" shrinkToFit="0" vertical="center" wrapText="1"/>
    </xf>
    <xf borderId="4" fillId="22" fontId="6" numFmtId="0" xfId="0" applyAlignment="1" applyBorder="1" applyFont="1">
      <alignment horizontal="center" shrinkToFit="0" vertical="center" wrapText="1"/>
    </xf>
    <xf borderId="4" fillId="23" fontId="52" numFmtId="172" xfId="0" applyAlignment="1" applyBorder="1" applyFont="1" applyNumberFormat="1">
      <alignment horizontal="center" readingOrder="0" shrinkToFit="0" vertical="center" wrapText="1"/>
    </xf>
    <xf borderId="4" fillId="23" fontId="53" numFmtId="0" xfId="0" applyAlignment="1" applyBorder="1" applyFont="1">
      <alignment horizontal="center" readingOrder="0" shrinkToFit="0" vertical="center" wrapText="1"/>
    </xf>
    <xf borderId="4" fillId="23" fontId="52" numFmtId="173" xfId="0" applyAlignment="1" applyBorder="1" applyFont="1" applyNumberFormat="1">
      <alignment horizontal="center" readingOrder="0" shrinkToFit="0" vertical="center" wrapText="1"/>
    </xf>
    <xf borderId="4" fillId="9" fontId="54" numFmtId="171" xfId="0" applyAlignment="1" applyBorder="1" applyFont="1" applyNumberFormat="1">
      <alignment horizontal="center" shrinkToFit="0" vertical="center" wrapText="1"/>
    </xf>
    <xf borderId="4" fillId="9" fontId="54" numFmtId="165" xfId="0" applyAlignment="1" applyBorder="1" applyFont="1" applyNumberFormat="1">
      <alignment horizontal="center" shrinkToFit="0" vertical="center" wrapText="1"/>
    </xf>
    <xf borderId="4" fillId="9" fontId="55" numFmtId="165" xfId="0" applyAlignment="1" applyBorder="1" applyFont="1" applyNumberFormat="1">
      <alignment horizontal="center" shrinkToFit="0" vertical="center" wrapText="1"/>
    </xf>
    <xf borderId="4" fillId="23" fontId="52" numFmtId="0" xfId="0" applyAlignment="1" applyBorder="1" applyFont="1">
      <alignment horizontal="left" shrinkToFit="0" vertical="center" wrapText="0"/>
    </xf>
    <xf borderId="4" fillId="23" fontId="52" numFmtId="20" xfId="0" applyAlignment="1" applyBorder="1" applyFont="1" applyNumberFormat="1">
      <alignment horizontal="center" readingOrder="0" shrinkToFit="0" vertical="center" wrapText="1"/>
    </xf>
    <xf borderId="4" fillId="23" fontId="52" numFmtId="172" xfId="0" applyAlignment="1" applyBorder="1" applyFont="1" applyNumberFormat="1">
      <alignment horizontal="center" shrinkToFit="0" vertical="center" wrapText="1"/>
    </xf>
    <xf borderId="4" fillId="23" fontId="53" numFmtId="0" xfId="0" applyAlignment="1" applyBorder="1" applyFont="1">
      <alignment horizontal="center" shrinkToFit="0" vertical="center" wrapText="1"/>
    </xf>
    <xf borderId="4" fillId="23" fontId="52" numFmtId="173" xfId="0" applyAlignment="1" applyBorder="1" applyFont="1" applyNumberFormat="1">
      <alignment horizontal="center" shrinkToFit="0" vertical="center" wrapText="1"/>
    </xf>
    <xf borderId="4" fillId="24" fontId="6" numFmtId="0" xfId="0" applyAlignment="1" applyBorder="1" applyFill="1" applyFont="1">
      <alignment horizontal="left" shrinkToFit="0" vertical="center" wrapText="0"/>
    </xf>
    <xf borderId="4" fillId="24" fontId="3" numFmtId="0" xfId="0" applyAlignment="1" applyBorder="1" applyFont="1">
      <alignment shrinkToFit="0" vertical="bottom" wrapText="0"/>
    </xf>
    <xf borderId="4" fillId="24" fontId="9" numFmtId="171" xfId="0" applyAlignment="1" applyBorder="1" applyFont="1" applyNumberFormat="1">
      <alignment horizontal="center" shrinkToFit="0" vertical="center" wrapText="1"/>
    </xf>
    <xf borderId="4" fillId="24" fontId="35" numFmtId="165" xfId="0" applyAlignment="1" applyBorder="1" applyFont="1" applyNumberFormat="1">
      <alignment horizontal="center" shrinkToFit="0" vertical="center" wrapText="1"/>
    </xf>
    <xf borderId="16" fillId="14" fontId="11" numFmtId="0" xfId="0" applyAlignment="1" applyBorder="1" applyFont="1">
      <alignment horizontal="left" shrinkToFit="0" vertical="center" wrapText="0"/>
    </xf>
    <xf borderId="13" fillId="2" fontId="13" numFmtId="167" xfId="0" applyAlignment="1" applyBorder="1" applyFont="1" applyNumberFormat="1">
      <alignment horizontal="center" readingOrder="0" shrinkToFit="0" vertical="center" wrapText="0"/>
    </xf>
    <xf borderId="5" fillId="2" fontId="13" numFmtId="167" xfId="0" applyAlignment="1" applyBorder="1" applyFont="1" applyNumberFormat="1">
      <alignment horizontal="center" readingOrder="0" shrinkToFit="0" vertical="center" wrapText="0"/>
    </xf>
    <xf borderId="5" fillId="3" fontId="56" numFmtId="165" xfId="0" applyAlignment="1" applyBorder="1" applyFont="1" applyNumberFormat="1">
      <alignment horizontal="center" shrinkToFit="0" vertical="center" wrapText="1"/>
    </xf>
    <xf borderId="5" fillId="7" fontId="3" numFmtId="165" xfId="0" applyAlignment="1" applyBorder="1" applyFont="1" applyNumberFormat="1">
      <alignment horizontal="center" shrinkToFit="0" vertical="center" wrapText="0"/>
    </xf>
    <xf borderId="5" fillId="7" fontId="3" numFmtId="3" xfId="0" applyAlignment="1" applyBorder="1" applyFont="1" applyNumberFormat="1">
      <alignment horizontal="center" shrinkToFit="0" vertical="center" wrapText="0"/>
    </xf>
    <xf borderId="5" fillId="7" fontId="7" numFmtId="0" xfId="0" applyAlignment="1" applyBorder="1" applyFont="1">
      <alignment horizontal="left" shrinkToFit="0" vertical="center" wrapText="0"/>
    </xf>
    <xf borderId="5" fillId="7" fontId="8" numFmtId="165" xfId="0" applyAlignment="1" applyBorder="1" applyFont="1" applyNumberFormat="1">
      <alignment horizontal="center" shrinkToFit="0" vertical="center" wrapText="1"/>
    </xf>
    <xf borderId="5" fillId="7" fontId="8" numFmtId="0" xfId="0" applyAlignment="1" applyBorder="1" applyFont="1">
      <alignment horizontal="left" shrinkToFit="0" vertical="center" wrapText="0"/>
    </xf>
    <xf borderId="5" fillId="7" fontId="46" numFmtId="165" xfId="0" applyAlignment="1" applyBorder="1" applyFont="1" applyNumberFormat="1">
      <alignment horizontal="center" shrinkToFit="0" vertical="center" wrapText="1"/>
    </xf>
    <xf borderId="5" fillId="7" fontId="3" numFmtId="0" xfId="0" applyAlignment="1" applyBorder="1" applyFont="1">
      <alignment horizontal="center" shrinkToFit="0" vertical="center" wrapText="0"/>
    </xf>
    <xf borderId="5" fillId="9" fontId="7" numFmtId="0" xfId="0" applyAlignment="1" applyBorder="1" applyFont="1">
      <alignment horizontal="left" shrinkToFit="0" vertical="center" wrapText="0"/>
    </xf>
    <xf borderId="5" fillId="9" fontId="57" numFmtId="165" xfId="0" applyAlignment="1" applyBorder="1" applyFont="1" applyNumberFormat="1">
      <alignment horizontal="center" shrinkToFit="0" vertical="center" wrapText="1"/>
    </xf>
    <xf borderId="5" fillId="9" fontId="58" numFmtId="165" xfId="0" applyAlignment="1" applyBorder="1" applyFont="1" applyNumberFormat="1">
      <alignment horizontal="center" shrinkToFit="0" vertical="center" wrapText="0"/>
    </xf>
    <xf borderId="5" fillId="9" fontId="3" numFmtId="3" xfId="0" applyAlignment="1" applyBorder="1" applyFont="1" applyNumberFormat="1">
      <alignment horizontal="center" shrinkToFit="0" vertical="center" wrapText="0"/>
    </xf>
    <xf borderId="5" fillId="9" fontId="59" numFmtId="0" xfId="0" applyAlignment="1" applyBorder="1" applyFont="1">
      <alignment horizontal="left" shrinkToFit="0" vertical="center" wrapText="0"/>
    </xf>
    <xf borderId="5" fillId="9" fontId="60" numFmtId="171" xfId="0" applyAlignment="1" applyBorder="1" applyFont="1" applyNumberFormat="1">
      <alignment horizontal="center" shrinkToFit="0" vertical="center" wrapText="1"/>
    </xf>
    <xf borderId="5" fillId="9" fontId="58" numFmtId="171" xfId="0" applyAlignment="1" applyBorder="1" applyFont="1" applyNumberFormat="1">
      <alignment horizontal="center" shrinkToFit="0" vertical="center" wrapText="0"/>
    </xf>
    <xf borderId="5" fillId="9" fontId="3" numFmtId="168" xfId="0" applyAlignment="1" applyBorder="1" applyFont="1" applyNumberFormat="1">
      <alignment horizontal="center" shrinkToFit="0" vertical="center" wrapText="0"/>
    </xf>
    <xf borderId="5" fillId="8" fontId="61" numFmtId="0" xfId="0" applyAlignment="1" applyBorder="1" applyFont="1">
      <alignment horizontal="left" shrinkToFit="0" vertical="center" wrapText="0"/>
    </xf>
    <xf borderId="5" fillId="8" fontId="60" numFmtId="165" xfId="0" applyAlignment="1" applyBorder="1" applyFont="1" applyNumberFormat="1">
      <alignment horizontal="center" shrinkToFit="0" vertical="center" wrapText="1"/>
    </xf>
    <xf borderId="5" fillId="8" fontId="58" numFmtId="165" xfId="0" applyAlignment="1" applyBorder="1" applyFont="1" applyNumberFormat="1">
      <alignment horizontal="center" shrinkToFit="0" vertical="center" wrapText="0"/>
    </xf>
    <xf borderId="5" fillId="8" fontId="3" numFmtId="0" xfId="0" applyAlignment="1" applyBorder="1" applyFont="1">
      <alignment horizontal="center" shrinkToFit="0" vertical="center" wrapText="0"/>
    </xf>
    <xf borderId="5" fillId="2" fontId="9" numFmtId="165" xfId="0" applyAlignment="1" applyBorder="1" applyFont="1" applyNumberFormat="1">
      <alignment horizontal="center" shrinkToFit="0" vertical="center" wrapText="1"/>
    </xf>
    <xf borderId="5" fillId="2" fontId="62" numFmtId="0" xfId="0" applyAlignment="1" applyBorder="1" applyFont="1">
      <alignment horizontal="center" shrinkToFit="0" vertical="center" wrapText="0"/>
    </xf>
    <xf borderId="5" fillId="3" fontId="63" numFmtId="0" xfId="0" applyAlignment="1" applyBorder="1" applyFont="1">
      <alignment horizontal="left" shrinkToFit="0" vertical="center" wrapText="0"/>
    </xf>
    <xf borderId="5" fillId="3" fontId="64" numFmtId="166" xfId="0" applyAlignment="1" applyBorder="1" applyFont="1" applyNumberFormat="1">
      <alignment horizontal="center" shrinkToFit="0" vertical="center" wrapText="1"/>
    </xf>
    <xf borderId="5" fillId="3" fontId="3" numFmtId="0" xfId="0" applyAlignment="1" applyBorder="1" applyFont="1">
      <alignment horizontal="center" shrinkToFit="0" vertical="center" wrapText="0"/>
    </xf>
    <xf borderId="1" fillId="14" fontId="11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月次売上・営業利益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売上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'📉ダッシュボード'!$A$8:$A$19</c:f>
            </c:strRef>
          </c:cat>
          <c:val>
            <c:numRef>
              <c:f>'📉ダッシュボード'!$B$8:$B$19</c:f>
              <c:numCache/>
            </c:numRef>
          </c:val>
        </c:ser>
        <c:ser>
          <c:idx val="1"/>
          <c:order val="1"/>
          <c:tx>
            <c:v>営業利益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cat>
            <c:strRef>
              <c:f>'📉ダッシュボード'!$A$8:$A$19</c:f>
            </c:strRef>
          </c:cat>
          <c:val>
            <c:numRef>
              <c:f>'📉ダッシュボード'!$C$8:$C$19</c:f>
              <c:numCache/>
            </c:numRef>
          </c:val>
        </c:ser>
        <c:overlap val="100"/>
        <c:axId val="1299631668"/>
        <c:axId val="702177658"/>
      </c:barChart>
      <c:catAx>
        <c:axId val="12996316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02177658"/>
      </c:catAx>
      <c:valAx>
        <c:axId val="7021776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金額(円)</a:t>
                </a:r>
              </a:p>
            </c:rich>
          </c:tx>
          <c:overlay val="0"/>
        </c:title>
        <c:numFmt formatCode="\¥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9963166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152400</xdr:colOff>
      <xdr:row>5</xdr:row>
      <xdr:rowOff>285750</xdr:rowOff>
    </xdr:from>
    <xdr:ext cx="4905375" cy="3609975"/>
    <xdr:graphicFrame>
      <xdr:nvGraphicFramePr>
        <xdr:cNvPr id="1" name="Chart 1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2.0"/>
    <col customWidth="1" min="3" max="3" width="50.0"/>
    <col customWidth="1" min="4" max="4" width="32.0"/>
    <col customWidth="1" min="5" max="6" width="8.71"/>
  </cols>
  <sheetData>
    <row r="1" ht="49.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5" t="s">
        <v>1</v>
      </c>
      <c r="B2" s="2"/>
      <c r="C2" s="2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6" t="s">
        <v>2</v>
      </c>
      <c r="B4" s="2"/>
      <c r="C4" s="2"/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4.0" customHeight="1">
      <c r="A5" s="4"/>
      <c r="B5" s="7" t="s">
        <v>3</v>
      </c>
      <c r="C5" s="7" t="s">
        <v>4</v>
      </c>
      <c r="D5" s="7" t="s">
        <v>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5.5" customHeight="1">
      <c r="A6" s="4"/>
      <c r="B6" s="8" t="s">
        <v>6</v>
      </c>
      <c r="C6" s="8" t="s">
        <v>7</v>
      </c>
      <c r="D6" s="9" t="s">
        <v>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5.5" customHeight="1">
      <c r="A7" s="4"/>
      <c r="B7" s="10" t="s">
        <v>9</v>
      </c>
      <c r="C7" s="11" t="s">
        <v>10</v>
      </c>
      <c r="D7" s="11" t="s">
        <v>11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5.5" customHeight="1">
      <c r="A8" s="4"/>
      <c r="B8" s="12" t="s">
        <v>12</v>
      </c>
      <c r="C8" s="12" t="s">
        <v>13</v>
      </c>
      <c r="D8" s="12" t="s">
        <v>14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5.5" customHeight="1">
      <c r="A9" s="4"/>
      <c r="B9" s="13" t="s">
        <v>15</v>
      </c>
      <c r="C9" s="13" t="s">
        <v>16</v>
      </c>
      <c r="D9" s="13" t="s">
        <v>17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4"/>
      <c r="B10" s="14" t="s">
        <v>18</v>
      </c>
      <c r="C10" s="14" t="s">
        <v>19</v>
      </c>
      <c r="D10" s="14" t="s">
        <v>14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5.5" customHeight="1">
      <c r="A11" s="4"/>
      <c r="B11" s="15" t="s">
        <v>20</v>
      </c>
      <c r="C11" s="15" t="s">
        <v>21</v>
      </c>
      <c r="D11" s="15" t="s">
        <v>14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0.0" customHeight="1">
      <c r="A13" s="6" t="s">
        <v>22</v>
      </c>
      <c r="B13" s="2"/>
      <c r="C13" s="2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0.0" customHeight="1">
      <c r="A14" s="4"/>
      <c r="B14" s="16" t="s">
        <v>23</v>
      </c>
      <c r="C14" s="17" t="s">
        <v>24</v>
      </c>
      <c r="D14" s="18" t="s">
        <v>25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4"/>
      <c r="B15" s="16" t="s">
        <v>26</v>
      </c>
      <c r="C15" s="17" t="s">
        <v>27</v>
      </c>
      <c r="D15" s="18" t="s">
        <v>28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0.0" customHeight="1">
      <c r="A16" s="4"/>
      <c r="B16" s="16" t="s">
        <v>29</v>
      </c>
      <c r="C16" s="17" t="s">
        <v>30</v>
      </c>
      <c r="D16" s="18" t="s">
        <v>31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0.0" customHeight="1">
      <c r="A17" s="4"/>
      <c r="B17" s="16" t="s">
        <v>32</v>
      </c>
      <c r="C17" s="17" t="s">
        <v>33</v>
      </c>
      <c r="D17" s="18" t="s">
        <v>34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0.0" customHeight="1">
      <c r="A19" s="19" t="s">
        <v>35</v>
      </c>
      <c r="B19" s="2"/>
      <c r="C19" s="2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4"/>
      <c r="B20" s="20" t="s">
        <v>36</v>
      </c>
      <c r="C20" s="21" t="s">
        <v>37</v>
      </c>
      <c r="D20" s="22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4"/>
      <c r="B21" s="23" t="s">
        <v>38</v>
      </c>
      <c r="C21" s="24" t="s">
        <v>39</v>
      </c>
      <c r="D21" s="2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4"/>
      <c r="B22" s="26" t="s">
        <v>40</v>
      </c>
      <c r="C22" s="8" t="s">
        <v>41</v>
      </c>
      <c r="D22" s="27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4"/>
      <c r="B23" s="28" t="s">
        <v>42</v>
      </c>
      <c r="C23" s="12" t="s">
        <v>43</v>
      </c>
      <c r="D23" s="29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4"/>
      <c r="B24" s="30" t="s">
        <v>44</v>
      </c>
      <c r="C24" s="10" t="s">
        <v>45</v>
      </c>
      <c r="D24" s="31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4"/>
      <c r="B25" s="32" t="s">
        <v>46</v>
      </c>
      <c r="C25" s="13" t="s">
        <v>47</v>
      </c>
      <c r="D25" s="3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4"/>
      <c r="B26" s="34" t="s">
        <v>48</v>
      </c>
      <c r="C26" s="15" t="s">
        <v>49</v>
      </c>
      <c r="D26" s="3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D1"/>
    <mergeCell ref="A2:D2"/>
    <mergeCell ref="A4:D4"/>
    <mergeCell ref="A13:D13"/>
    <mergeCell ref="A19:D1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 outlineLevelCol="1"/>
  <cols>
    <col customWidth="1" min="1" max="1" width="20.0"/>
    <col customWidth="1" min="2" max="12" width="9.0" outlineLevel="1"/>
    <col customWidth="1" min="13" max="13" width="11.0"/>
    <col customWidth="1" min="14" max="24" width="9.0" outlineLevel="1"/>
    <col customWidth="1" min="25" max="25" width="11.0"/>
    <col customWidth="1" min="26" max="48" width="9.0" outlineLevel="1"/>
    <col customWidth="1" min="49" max="49" width="11.0"/>
    <col customWidth="1" min="50" max="60" width="9.0" outlineLevel="1"/>
    <col customWidth="1" min="61" max="61" width="11.0"/>
    <col customWidth="1" min="62" max="72" width="9.0" outlineLevel="1"/>
    <col customWidth="1" min="73" max="73" width="11.0"/>
    <col customWidth="1" min="74" max="84" width="9.0" outlineLevel="1"/>
    <col customWidth="1" min="85" max="85" width="11.0"/>
    <col customWidth="1" min="86" max="96" width="9.0" outlineLevel="1"/>
    <col customWidth="1" min="97" max="97" width="11.0"/>
    <col customWidth="1" min="98" max="108" width="9.0" outlineLevel="1"/>
    <col customWidth="1" min="109" max="109" width="11.0"/>
    <col customWidth="1" min="110" max="120" width="9.0" outlineLevel="1"/>
    <col customWidth="1" min="121" max="121" width="11.0"/>
    <col customWidth="1" min="122" max="132" width="9.0" outlineLevel="1"/>
    <col customWidth="1" min="133" max="133" width="11.0"/>
    <col customWidth="1" min="134" max="144" width="9.0" outlineLevel="1"/>
    <col customWidth="1" min="145" max="145" width="11.0"/>
    <col customWidth="1" min="146" max="146" width="12.0"/>
  </cols>
  <sheetData>
    <row r="1" ht="39.75" customHeight="1">
      <c r="A1" s="36" t="s">
        <v>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3"/>
    </row>
    <row r="2" ht="25.5" customHeight="1">
      <c r="A2" s="37" t="s">
        <v>51</v>
      </c>
      <c r="B2" s="38" t="s">
        <v>52</v>
      </c>
      <c r="C2" s="2"/>
      <c r="D2" s="2"/>
      <c r="E2" s="2"/>
      <c r="F2" s="2"/>
      <c r="G2" s="2"/>
      <c r="H2" s="2"/>
      <c r="I2" s="2"/>
      <c r="J2" s="2"/>
      <c r="K2" s="2"/>
      <c r="L2" s="39"/>
      <c r="M2" s="40" t="s">
        <v>53</v>
      </c>
      <c r="N2" s="41" t="s">
        <v>54</v>
      </c>
      <c r="O2" s="2"/>
      <c r="P2" s="2"/>
      <c r="Q2" s="2"/>
      <c r="R2" s="2"/>
      <c r="S2" s="2"/>
      <c r="T2" s="2"/>
      <c r="U2" s="2"/>
      <c r="V2" s="2"/>
      <c r="W2" s="2"/>
      <c r="X2" s="39"/>
      <c r="Y2" s="40" t="s">
        <v>55</v>
      </c>
      <c r="Z2" s="38" t="s">
        <v>56</v>
      </c>
      <c r="AA2" s="2"/>
      <c r="AB2" s="2"/>
      <c r="AC2" s="2"/>
      <c r="AD2" s="2"/>
      <c r="AE2" s="2"/>
      <c r="AF2" s="2"/>
      <c r="AG2" s="2"/>
      <c r="AH2" s="2"/>
      <c r="AI2" s="2"/>
      <c r="AJ2" s="39"/>
      <c r="AK2" s="40" t="s">
        <v>57</v>
      </c>
      <c r="AL2" s="41" t="s">
        <v>58</v>
      </c>
      <c r="AM2" s="2"/>
      <c r="AN2" s="2"/>
      <c r="AO2" s="2"/>
      <c r="AP2" s="2"/>
      <c r="AQ2" s="2"/>
      <c r="AR2" s="2"/>
      <c r="AS2" s="2"/>
      <c r="AT2" s="2"/>
      <c r="AU2" s="2"/>
      <c r="AV2" s="39"/>
      <c r="AW2" s="40" t="s">
        <v>59</v>
      </c>
      <c r="AX2" s="38" t="s">
        <v>60</v>
      </c>
      <c r="AY2" s="2"/>
      <c r="AZ2" s="2"/>
      <c r="BA2" s="2"/>
      <c r="BB2" s="2"/>
      <c r="BC2" s="2"/>
      <c r="BD2" s="2"/>
      <c r="BE2" s="2"/>
      <c r="BF2" s="2"/>
      <c r="BG2" s="2"/>
      <c r="BH2" s="39"/>
      <c r="BI2" s="40" t="s">
        <v>61</v>
      </c>
      <c r="BJ2" s="41" t="s">
        <v>62</v>
      </c>
      <c r="BK2" s="2"/>
      <c r="BL2" s="2"/>
      <c r="BM2" s="2"/>
      <c r="BN2" s="2"/>
      <c r="BO2" s="2"/>
      <c r="BP2" s="2"/>
      <c r="BQ2" s="2"/>
      <c r="BR2" s="2"/>
      <c r="BS2" s="2"/>
      <c r="BT2" s="39"/>
      <c r="BU2" s="40" t="s">
        <v>63</v>
      </c>
      <c r="BV2" s="42" t="s">
        <v>64</v>
      </c>
      <c r="BW2" s="2"/>
      <c r="BX2" s="2"/>
      <c r="BY2" s="2"/>
      <c r="BZ2" s="2"/>
      <c r="CA2" s="2"/>
      <c r="CB2" s="2"/>
      <c r="CC2" s="2"/>
      <c r="CD2" s="2"/>
      <c r="CE2" s="2"/>
      <c r="CF2" s="39"/>
      <c r="CG2" s="40" t="s">
        <v>65</v>
      </c>
      <c r="CH2" s="41" t="s">
        <v>66</v>
      </c>
      <c r="CI2" s="2"/>
      <c r="CJ2" s="2"/>
      <c r="CK2" s="2"/>
      <c r="CL2" s="2"/>
      <c r="CM2" s="2"/>
      <c r="CN2" s="2"/>
      <c r="CO2" s="2"/>
      <c r="CP2" s="2"/>
      <c r="CQ2" s="2"/>
      <c r="CR2" s="39"/>
      <c r="CS2" s="40" t="s">
        <v>67</v>
      </c>
      <c r="CT2" s="42" t="s">
        <v>68</v>
      </c>
      <c r="CU2" s="2"/>
      <c r="CV2" s="2"/>
      <c r="CW2" s="2"/>
      <c r="CX2" s="2"/>
      <c r="CY2" s="2"/>
      <c r="CZ2" s="2"/>
      <c r="DA2" s="2"/>
      <c r="DB2" s="2"/>
      <c r="DC2" s="2"/>
      <c r="DD2" s="39"/>
      <c r="DE2" s="40" t="s">
        <v>69</v>
      </c>
      <c r="DF2" s="41" t="s">
        <v>70</v>
      </c>
      <c r="DG2" s="2"/>
      <c r="DH2" s="2"/>
      <c r="DI2" s="2"/>
      <c r="DJ2" s="2"/>
      <c r="DK2" s="2"/>
      <c r="DL2" s="2"/>
      <c r="DM2" s="2"/>
      <c r="DN2" s="2"/>
      <c r="DO2" s="2"/>
      <c r="DP2" s="39"/>
      <c r="DQ2" s="40" t="s">
        <v>71</v>
      </c>
      <c r="DR2" s="38" t="s">
        <v>72</v>
      </c>
      <c r="DS2" s="2"/>
      <c r="DT2" s="2"/>
      <c r="DU2" s="2"/>
      <c r="DV2" s="2"/>
      <c r="DW2" s="2"/>
      <c r="DX2" s="2"/>
      <c r="DY2" s="2"/>
      <c r="DZ2" s="2"/>
      <c r="EA2" s="2"/>
      <c r="EB2" s="39"/>
      <c r="EC2" s="40" t="s">
        <v>73</v>
      </c>
      <c r="ED2" s="41" t="s">
        <v>74</v>
      </c>
      <c r="EE2" s="2"/>
      <c r="EF2" s="2"/>
      <c r="EG2" s="2"/>
      <c r="EH2" s="2"/>
      <c r="EI2" s="2"/>
      <c r="EJ2" s="2"/>
      <c r="EK2" s="2"/>
      <c r="EL2" s="2"/>
      <c r="EM2" s="2"/>
      <c r="EN2" s="39"/>
      <c r="EO2" s="40" t="s">
        <v>75</v>
      </c>
      <c r="EP2" s="43" t="s">
        <v>76</v>
      </c>
    </row>
    <row r="3" ht="37.5" customHeight="1">
      <c r="A3" s="44" t="s">
        <v>77</v>
      </c>
      <c r="B3" s="45" t="s">
        <v>78</v>
      </c>
      <c r="C3" s="45" t="s">
        <v>79</v>
      </c>
      <c r="D3" s="45" t="s">
        <v>80</v>
      </c>
      <c r="E3" s="45" t="s">
        <v>81</v>
      </c>
      <c r="F3" s="45" t="s">
        <v>82</v>
      </c>
      <c r="G3" s="45" t="s">
        <v>83</v>
      </c>
      <c r="H3" s="45" t="s">
        <v>84</v>
      </c>
      <c r="I3" s="45" t="s">
        <v>85</v>
      </c>
      <c r="J3" s="45" t="s">
        <v>86</v>
      </c>
      <c r="K3" s="45" t="s">
        <v>87</v>
      </c>
      <c r="L3" s="45" t="s">
        <v>88</v>
      </c>
      <c r="M3" s="46" t="s">
        <v>89</v>
      </c>
      <c r="N3" s="47" t="s">
        <v>78</v>
      </c>
      <c r="O3" s="47" t="s">
        <v>79</v>
      </c>
      <c r="P3" s="47" t="s">
        <v>80</v>
      </c>
      <c r="Q3" s="47" t="s">
        <v>81</v>
      </c>
      <c r="R3" s="47" t="s">
        <v>82</v>
      </c>
      <c r="S3" s="47" t="s">
        <v>83</v>
      </c>
      <c r="T3" s="47" t="s">
        <v>84</v>
      </c>
      <c r="U3" s="47" t="s">
        <v>85</v>
      </c>
      <c r="V3" s="47" t="s">
        <v>86</v>
      </c>
      <c r="W3" s="47" t="s">
        <v>87</v>
      </c>
      <c r="X3" s="47" t="s">
        <v>88</v>
      </c>
      <c r="Y3" s="46" t="s">
        <v>89</v>
      </c>
      <c r="Z3" s="45" t="s">
        <v>78</v>
      </c>
      <c r="AA3" s="45" t="s">
        <v>79</v>
      </c>
      <c r="AB3" s="45" t="s">
        <v>80</v>
      </c>
      <c r="AC3" s="45" t="s">
        <v>81</v>
      </c>
      <c r="AD3" s="45" t="s">
        <v>82</v>
      </c>
      <c r="AE3" s="45" t="s">
        <v>83</v>
      </c>
      <c r="AF3" s="45" t="s">
        <v>84</v>
      </c>
      <c r="AG3" s="45" t="s">
        <v>85</v>
      </c>
      <c r="AH3" s="45" t="s">
        <v>86</v>
      </c>
      <c r="AI3" s="45" t="s">
        <v>87</v>
      </c>
      <c r="AJ3" s="45" t="s">
        <v>88</v>
      </c>
      <c r="AK3" s="46" t="s">
        <v>89</v>
      </c>
      <c r="AL3" s="47" t="s">
        <v>78</v>
      </c>
      <c r="AM3" s="47" t="s">
        <v>79</v>
      </c>
      <c r="AN3" s="47" t="s">
        <v>80</v>
      </c>
      <c r="AO3" s="47" t="s">
        <v>81</v>
      </c>
      <c r="AP3" s="47" t="s">
        <v>82</v>
      </c>
      <c r="AQ3" s="47" t="s">
        <v>83</v>
      </c>
      <c r="AR3" s="47" t="s">
        <v>84</v>
      </c>
      <c r="AS3" s="47" t="s">
        <v>85</v>
      </c>
      <c r="AT3" s="47" t="s">
        <v>86</v>
      </c>
      <c r="AU3" s="47" t="s">
        <v>87</v>
      </c>
      <c r="AV3" s="47" t="s">
        <v>88</v>
      </c>
      <c r="AW3" s="46" t="s">
        <v>89</v>
      </c>
      <c r="AX3" s="45" t="s">
        <v>78</v>
      </c>
      <c r="AY3" s="45" t="s">
        <v>79</v>
      </c>
      <c r="AZ3" s="45" t="s">
        <v>80</v>
      </c>
      <c r="BA3" s="45" t="s">
        <v>81</v>
      </c>
      <c r="BB3" s="45" t="s">
        <v>82</v>
      </c>
      <c r="BC3" s="45" t="s">
        <v>83</v>
      </c>
      <c r="BD3" s="45" t="s">
        <v>84</v>
      </c>
      <c r="BE3" s="45" t="s">
        <v>85</v>
      </c>
      <c r="BF3" s="45" t="s">
        <v>86</v>
      </c>
      <c r="BG3" s="45" t="s">
        <v>87</v>
      </c>
      <c r="BH3" s="45" t="s">
        <v>88</v>
      </c>
      <c r="BI3" s="46" t="s">
        <v>89</v>
      </c>
      <c r="BJ3" s="47" t="s">
        <v>78</v>
      </c>
      <c r="BK3" s="47" t="s">
        <v>79</v>
      </c>
      <c r="BL3" s="47" t="s">
        <v>80</v>
      </c>
      <c r="BM3" s="47" t="s">
        <v>81</v>
      </c>
      <c r="BN3" s="47" t="s">
        <v>82</v>
      </c>
      <c r="BO3" s="47" t="s">
        <v>83</v>
      </c>
      <c r="BP3" s="47" t="s">
        <v>84</v>
      </c>
      <c r="BQ3" s="47" t="s">
        <v>85</v>
      </c>
      <c r="BR3" s="47" t="s">
        <v>86</v>
      </c>
      <c r="BS3" s="47" t="s">
        <v>87</v>
      </c>
      <c r="BT3" s="47" t="s">
        <v>88</v>
      </c>
      <c r="BU3" s="46" t="s">
        <v>89</v>
      </c>
      <c r="BV3" s="45" t="s">
        <v>78</v>
      </c>
      <c r="BW3" s="45" t="s">
        <v>79</v>
      </c>
      <c r="BX3" s="45" t="s">
        <v>80</v>
      </c>
      <c r="BY3" s="45" t="s">
        <v>81</v>
      </c>
      <c r="BZ3" s="45" t="s">
        <v>82</v>
      </c>
      <c r="CA3" s="45" t="s">
        <v>83</v>
      </c>
      <c r="CB3" s="45" t="s">
        <v>84</v>
      </c>
      <c r="CC3" s="45" t="s">
        <v>85</v>
      </c>
      <c r="CD3" s="45" t="s">
        <v>86</v>
      </c>
      <c r="CE3" s="45" t="s">
        <v>87</v>
      </c>
      <c r="CF3" s="45" t="s">
        <v>88</v>
      </c>
      <c r="CG3" s="46" t="s">
        <v>89</v>
      </c>
      <c r="CH3" s="47" t="s">
        <v>78</v>
      </c>
      <c r="CI3" s="47" t="s">
        <v>79</v>
      </c>
      <c r="CJ3" s="47" t="s">
        <v>80</v>
      </c>
      <c r="CK3" s="47" t="s">
        <v>81</v>
      </c>
      <c r="CL3" s="47" t="s">
        <v>82</v>
      </c>
      <c r="CM3" s="47" t="s">
        <v>83</v>
      </c>
      <c r="CN3" s="47" t="s">
        <v>84</v>
      </c>
      <c r="CO3" s="47" t="s">
        <v>85</v>
      </c>
      <c r="CP3" s="47" t="s">
        <v>86</v>
      </c>
      <c r="CQ3" s="47" t="s">
        <v>87</v>
      </c>
      <c r="CR3" s="47" t="s">
        <v>88</v>
      </c>
      <c r="CS3" s="46" t="s">
        <v>89</v>
      </c>
      <c r="CT3" s="45" t="s">
        <v>78</v>
      </c>
      <c r="CU3" s="45" t="s">
        <v>79</v>
      </c>
      <c r="CV3" s="45" t="s">
        <v>80</v>
      </c>
      <c r="CW3" s="45" t="s">
        <v>81</v>
      </c>
      <c r="CX3" s="45" t="s">
        <v>82</v>
      </c>
      <c r="CY3" s="45" t="s">
        <v>83</v>
      </c>
      <c r="CZ3" s="45" t="s">
        <v>84</v>
      </c>
      <c r="DA3" s="45" t="s">
        <v>85</v>
      </c>
      <c r="DB3" s="45" t="s">
        <v>86</v>
      </c>
      <c r="DC3" s="45" t="s">
        <v>87</v>
      </c>
      <c r="DD3" s="45" t="s">
        <v>88</v>
      </c>
      <c r="DE3" s="46" t="s">
        <v>89</v>
      </c>
      <c r="DF3" s="47" t="s">
        <v>78</v>
      </c>
      <c r="DG3" s="47" t="s">
        <v>79</v>
      </c>
      <c r="DH3" s="47" t="s">
        <v>80</v>
      </c>
      <c r="DI3" s="47" t="s">
        <v>81</v>
      </c>
      <c r="DJ3" s="47" t="s">
        <v>82</v>
      </c>
      <c r="DK3" s="47" t="s">
        <v>83</v>
      </c>
      <c r="DL3" s="47" t="s">
        <v>84</v>
      </c>
      <c r="DM3" s="47" t="s">
        <v>85</v>
      </c>
      <c r="DN3" s="47" t="s">
        <v>86</v>
      </c>
      <c r="DO3" s="47" t="s">
        <v>87</v>
      </c>
      <c r="DP3" s="47" t="s">
        <v>88</v>
      </c>
      <c r="DQ3" s="46" t="s">
        <v>89</v>
      </c>
      <c r="DR3" s="45" t="s">
        <v>78</v>
      </c>
      <c r="DS3" s="45" t="s">
        <v>79</v>
      </c>
      <c r="DT3" s="45" t="s">
        <v>80</v>
      </c>
      <c r="DU3" s="45" t="s">
        <v>81</v>
      </c>
      <c r="DV3" s="45" t="s">
        <v>82</v>
      </c>
      <c r="DW3" s="45" t="s">
        <v>83</v>
      </c>
      <c r="DX3" s="45" t="s">
        <v>84</v>
      </c>
      <c r="DY3" s="45" t="s">
        <v>85</v>
      </c>
      <c r="DZ3" s="45" t="s">
        <v>86</v>
      </c>
      <c r="EA3" s="45" t="s">
        <v>87</v>
      </c>
      <c r="EB3" s="45" t="s">
        <v>88</v>
      </c>
      <c r="EC3" s="46" t="s">
        <v>89</v>
      </c>
      <c r="ED3" s="47" t="s">
        <v>78</v>
      </c>
      <c r="EE3" s="47" t="s">
        <v>79</v>
      </c>
      <c r="EF3" s="47" t="s">
        <v>80</v>
      </c>
      <c r="EG3" s="47" t="s">
        <v>81</v>
      </c>
      <c r="EH3" s="47" t="s">
        <v>82</v>
      </c>
      <c r="EI3" s="47" t="s">
        <v>83</v>
      </c>
      <c r="EJ3" s="47" t="s">
        <v>84</v>
      </c>
      <c r="EK3" s="47" t="s">
        <v>85</v>
      </c>
      <c r="EL3" s="47" t="s">
        <v>86</v>
      </c>
      <c r="EM3" s="47" t="s">
        <v>87</v>
      </c>
      <c r="EN3" s="47" t="s">
        <v>88</v>
      </c>
      <c r="EO3" s="46" t="s">
        <v>89</v>
      </c>
      <c r="EP3" s="46" t="s">
        <v>90</v>
      </c>
    </row>
    <row r="4" ht="21.75" customHeight="1">
      <c r="A4" s="48" t="s">
        <v>91</v>
      </c>
      <c r="B4" s="49">
        <v>46146.0</v>
      </c>
      <c r="C4" s="49">
        <v>46150.0</v>
      </c>
      <c r="D4" s="49">
        <v>46153.0</v>
      </c>
      <c r="E4" s="49">
        <v>46157.0</v>
      </c>
      <c r="F4" s="49">
        <v>46160.0</v>
      </c>
      <c r="G4" s="49">
        <v>46164.0</v>
      </c>
      <c r="H4" s="49">
        <v>46167.0</v>
      </c>
      <c r="I4" s="49">
        <v>46171.0</v>
      </c>
      <c r="J4" s="49">
        <v>46173.0</v>
      </c>
      <c r="K4" s="50"/>
      <c r="L4" s="50"/>
      <c r="M4" s="51"/>
      <c r="N4" s="49">
        <v>46177.0</v>
      </c>
      <c r="O4" s="50"/>
      <c r="P4" s="50"/>
      <c r="Q4" s="50"/>
      <c r="R4" s="50"/>
      <c r="S4" s="50"/>
      <c r="T4" s="50"/>
      <c r="U4" s="50"/>
      <c r="V4" s="50"/>
      <c r="W4" s="50"/>
      <c r="X4" s="50"/>
      <c r="Y4" s="51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1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1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1"/>
      <c r="BJ4" s="50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1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1"/>
      <c r="CH4" s="50"/>
      <c r="CI4" s="50"/>
      <c r="CJ4" s="50"/>
      <c r="CK4" s="50"/>
      <c r="CL4" s="50"/>
      <c r="CM4" s="50"/>
      <c r="CN4" s="50"/>
      <c r="CO4" s="50"/>
      <c r="CP4" s="50"/>
      <c r="CQ4" s="50"/>
      <c r="CR4" s="50"/>
      <c r="CS4" s="51"/>
      <c r="CT4" s="50"/>
      <c r="CU4" s="50"/>
      <c r="CV4" s="50"/>
      <c r="CW4" s="50"/>
      <c r="CX4" s="50"/>
      <c r="CY4" s="50"/>
      <c r="CZ4" s="50"/>
      <c r="DA4" s="50"/>
      <c r="DB4" s="50"/>
      <c r="DC4" s="50"/>
      <c r="DD4" s="50"/>
      <c r="DE4" s="51"/>
      <c r="DF4" s="50"/>
      <c r="DG4" s="50"/>
      <c r="DH4" s="50"/>
      <c r="DI4" s="50"/>
      <c r="DJ4" s="50"/>
      <c r="DK4" s="50"/>
      <c r="DL4" s="50"/>
      <c r="DM4" s="50"/>
      <c r="DN4" s="50"/>
      <c r="DO4" s="50"/>
      <c r="DP4" s="50"/>
      <c r="DQ4" s="51"/>
      <c r="DR4" s="50"/>
      <c r="DS4" s="50"/>
      <c r="DT4" s="50"/>
      <c r="DU4" s="50"/>
      <c r="DV4" s="50"/>
      <c r="DW4" s="50"/>
      <c r="DX4" s="50"/>
      <c r="DY4" s="50"/>
      <c r="DZ4" s="50"/>
      <c r="EA4" s="50"/>
      <c r="EB4" s="50"/>
      <c r="EC4" s="51"/>
      <c r="ED4" s="50"/>
      <c r="EE4" s="50"/>
      <c r="EF4" s="50"/>
      <c r="EG4" s="50"/>
      <c r="EH4" s="50"/>
      <c r="EI4" s="50"/>
      <c r="EJ4" s="50"/>
      <c r="EK4" s="50"/>
      <c r="EL4" s="50"/>
      <c r="EM4" s="50"/>
      <c r="EN4" s="50"/>
      <c r="EO4" s="51"/>
      <c r="EP4" s="51"/>
    </row>
    <row r="5" ht="24.0" customHeight="1">
      <c r="A5" s="52" t="s">
        <v>92</v>
      </c>
      <c r="B5" s="53">
        <v>700.0</v>
      </c>
      <c r="C5" s="53">
        <v>3600.0</v>
      </c>
      <c r="D5" s="53">
        <v>3000.0</v>
      </c>
      <c r="E5" s="53">
        <v>1500.0</v>
      </c>
      <c r="F5" s="53">
        <v>1000.0</v>
      </c>
      <c r="G5" s="53">
        <v>600.0</v>
      </c>
      <c r="H5" s="53">
        <v>1300.0</v>
      </c>
      <c r="I5" s="53">
        <v>400.0</v>
      </c>
      <c r="J5" s="53">
        <v>2500.0</v>
      </c>
      <c r="K5" s="54"/>
      <c r="L5" s="54"/>
      <c r="M5" s="55">
        <f t="shared" ref="M5:M13" si="1">SUM(B5:L5)</f>
        <v>14600</v>
      </c>
      <c r="N5" s="53">
        <v>1300.0</v>
      </c>
      <c r="O5" s="54"/>
      <c r="P5" s="54"/>
      <c r="Q5" s="54"/>
      <c r="R5" s="54"/>
      <c r="S5" s="54"/>
      <c r="T5" s="54"/>
      <c r="U5" s="54"/>
      <c r="V5" s="54"/>
      <c r="W5" s="54"/>
      <c r="X5" s="54"/>
      <c r="Y5" s="55">
        <f t="shared" ref="Y5:Y13" si="2">SUM(N5:X5)</f>
        <v>1300</v>
      </c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5">
        <f t="shared" ref="AK5:AK13" si="3">SUM(Z5:AJ5)</f>
        <v>0</v>
      </c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5">
        <f t="shared" ref="AW5:AW13" si="4">SUM(AL5:AV5)</f>
        <v>0</v>
      </c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5">
        <f t="shared" ref="BI5:BI13" si="5">SUM(AX5:BH5)</f>
        <v>0</v>
      </c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5">
        <f t="shared" ref="BU5:BU13" si="6">SUM(BJ5:BT5)</f>
        <v>0</v>
      </c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5">
        <f t="shared" ref="CG5:CG13" si="7">SUM(BV5:CF5)</f>
        <v>0</v>
      </c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5">
        <f t="shared" ref="CS5:CS13" si="8">SUM(CH5:CR5)</f>
        <v>0</v>
      </c>
      <c r="CT5" s="54"/>
      <c r="CU5" s="54"/>
      <c r="CV5" s="54"/>
      <c r="CW5" s="54"/>
      <c r="CX5" s="54"/>
      <c r="CY5" s="54"/>
      <c r="CZ5" s="54"/>
      <c r="DA5" s="54"/>
      <c r="DB5" s="54"/>
      <c r="DC5" s="54"/>
      <c r="DD5" s="54"/>
      <c r="DE5" s="55">
        <f t="shared" ref="DE5:DE13" si="9">SUM(CT5:DD5)</f>
        <v>0</v>
      </c>
      <c r="DF5" s="54"/>
      <c r="DG5" s="54"/>
      <c r="DH5" s="54"/>
      <c r="DI5" s="54"/>
      <c r="DJ5" s="54"/>
      <c r="DK5" s="54"/>
      <c r="DL5" s="54"/>
      <c r="DM5" s="54"/>
      <c r="DN5" s="54"/>
      <c r="DO5" s="54"/>
      <c r="DP5" s="54"/>
      <c r="DQ5" s="55">
        <f t="shared" ref="DQ5:DQ13" si="10">SUM(DF5:DP5)</f>
        <v>0</v>
      </c>
      <c r="DR5" s="54"/>
      <c r="DS5" s="54"/>
      <c r="DT5" s="54"/>
      <c r="DU5" s="54"/>
      <c r="DV5" s="54"/>
      <c r="DW5" s="54"/>
      <c r="DX5" s="54"/>
      <c r="DY5" s="54"/>
      <c r="DZ5" s="54"/>
      <c r="EA5" s="54"/>
      <c r="EB5" s="54"/>
      <c r="EC5" s="55">
        <f t="shared" ref="EC5:EC13" si="11">SUM(DR5:EB5)</f>
        <v>0</v>
      </c>
      <c r="ED5" s="54"/>
      <c r="EE5" s="54"/>
      <c r="EF5" s="54"/>
      <c r="EG5" s="54"/>
      <c r="EH5" s="54"/>
      <c r="EI5" s="54"/>
      <c r="EJ5" s="54"/>
      <c r="EK5" s="54"/>
      <c r="EL5" s="54"/>
      <c r="EM5" s="54"/>
      <c r="EN5" s="54"/>
      <c r="EO5" s="55">
        <f t="shared" ref="EO5:EO13" si="12">SUM(ED5:EN5)</f>
        <v>0</v>
      </c>
      <c r="EP5" s="55">
        <f t="shared" ref="EP5:EP13" si="13">M5+Y5+AK5+AW5+BI5+BU5+CG5+CS5+DE5+DQ5+EC5+EO5</f>
        <v>15900</v>
      </c>
    </row>
    <row r="6" ht="24.0" customHeight="1">
      <c r="A6" s="52" t="s">
        <v>93</v>
      </c>
      <c r="B6" s="53">
        <v>3100.0</v>
      </c>
      <c r="C6" s="53">
        <v>4900.0</v>
      </c>
      <c r="D6" s="53">
        <v>5300.0</v>
      </c>
      <c r="E6" s="53">
        <v>6100.0</v>
      </c>
      <c r="F6" s="53">
        <v>3100.0</v>
      </c>
      <c r="G6" s="53">
        <v>1100.0</v>
      </c>
      <c r="H6" s="53">
        <v>1800.0</v>
      </c>
      <c r="I6" s="53">
        <v>1100.0</v>
      </c>
      <c r="J6" s="53">
        <v>3600.0</v>
      </c>
      <c r="K6" s="54"/>
      <c r="L6" s="54"/>
      <c r="M6" s="55">
        <f t="shared" si="1"/>
        <v>30100</v>
      </c>
      <c r="N6" s="53">
        <v>1600.0</v>
      </c>
      <c r="O6" s="54"/>
      <c r="P6" s="54"/>
      <c r="Q6" s="54"/>
      <c r="R6" s="54"/>
      <c r="S6" s="54"/>
      <c r="T6" s="54"/>
      <c r="U6" s="54"/>
      <c r="V6" s="54"/>
      <c r="W6" s="54"/>
      <c r="X6" s="54"/>
      <c r="Y6" s="55">
        <f t="shared" si="2"/>
        <v>1600</v>
      </c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5">
        <f t="shared" si="3"/>
        <v>0</v>
      </c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5">
        <f t="shared" si="4"/>
        <v>0</v>
      </c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5">
        <f t="shared" si="5"/>
        <v>0</v>
      </c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5">
        <f t="shared" si="6"/>
        <v>0</v>
      </c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5">
        <f t="shared" si="7"/>
        <v>0</v>
      </c>
      <c r="CH6" s="54"/>
      <c r="CI6" s="54"/>
      <c r="CJ6" s="54"/>
      <c r="CK6" s="54"/>
      <c r="CL6" s="54"/>
      <c r="CM6" s="54"/>
      <c r="CN6" s="54"/>
      <c r="CO6" s="54"/>
      <c r="CP6" s="54"/>
      <c r="CQ6" s="54"/>
      <c r="CR6" s="54"/>
      <c r="CS6" s="55">
        <f t="shared" si="8"/>
        <v>0</v>
      </c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5">
        <f t="shared" si="9"/>
        <v>0</v>
      </c>
      <c r="DF6" s="54"/>
      <c r="DG6" s="54"/>
      <c r="DH6" s="54"/>
      <c r="DI6" s="54"/>
      <c r="DJ6" s="54"/>
      <c r="DK6" s="54"/>
      <c r="DL6" s="54"/>
      <c r="DM6" s="54"/>
      <c r="DN6" s="54"/>
      <c r="DO6" s="54"/>
      <c r="DP6" s="54"/>
      <c r="DQ6" s="55">
        <f t="shared" si="10"/>
        <v>0</v>
      </c>
      <c r="DR6" s="54"/>
      <c r="DS6" s="54"/>
      <c r="DT6" s="54"/>
      <c r="DU6" s="54"/>
      <c r="DV6" s="54"/>
      <c r="DW6" s="54"/>
      <c r="DX6" s="54"/>
      <c r="DY6" s="54"/>
      <c r="DZ6" s="54"/>
      <c r="EA6" s="54"/>
      <c r="EB6" s="54"/>
      <c r="EC6" s="55">
        <f t="shared" si="11"/>
        <v>0</v>
      </c>
      <c r="ED6" s="54"/>
      <c r="EE6" s="54"/>
      <c r="EF6" s="54"/>
      <c r="EG6" s="54"/>
      <c r="EH6" s="54"/>
      <c r="EI6" s="54"/>
      <c r="EJ6" s="54"/>
      <c r="EK6" s="54"/>
      <c r="EL6" s="54"/>
      <c r="EM6" s="54"/>
      <c r="EN6" s="54"/>
      <c r="EO6" s="55">
        <f t="shared" si="12"/>
        <v>0</v>
      </c>
      <c r="EP6" s="55">
        <f t="shared" si="13"/>
        <v>31700</v>
      </c>
    </row>
    <row r="7" ht="24.0" customHeight="1">
      <c r="A7" s="52" t="s">
        <v>94</v>
      </c>
      <c r="B7" s="53">
        <v>3600.0</v>
      </c>
      <c r="C7" s="53">
        <v>5000.0</v>
      </c>
      <c r="D7" s="53">
        <v>7600.0</v>
      </c>
      <c r="E7" s="53">
        <v>5400.0</v>
      </c>
      <c r="F7" s="53">
        <v>3900.0</v>
      </c>
      <c r="G7" s="53">
        <v>3500.0</v>
      </c>
      <c r="H7" s="53">
        <v>5700.0</v>
      </c>
      <c r="I7" s="53">
        <v>4700.0</v>
      </c>
      <c r="J7" s="53">
        <v>2400.0</v>
      </c>
      <c r="K7" s="54"/>
      <c r="L7" s="54"/>
      <c r="M7" s="55">
        <f t="shared" si="1"/>
        <v>41800</v>
      </c>
      <c r="N7" s="53">
        <v>3100.0</v>
      </c>
      <c r="O7" s="54"/>
      <c r="P7" s="54"/>
      <c r="Q7" s="54"/>
      <c r="R7" s="54"/>
      <c r="S7" s="54"/>
      <c r="T7" s="54"/>
      <c r="U7" s="54"/>
      <c r="V7" s="54"/>
      <c r="W7" s="54"/>
      <c r="X7" s="54"/>
      <c r="Y7" s="55">
        <f t="shared" si="2"/>
        <v>3100</v>
      </c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5">
        <f t="shared" si="3"/>
        <v>0</v>
      </c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5">
        <f t="shared" si="4"/>
        <v>0</v>
      </c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5">
        <f t="shared" si="5"/>
        <v>0</v>
      </c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5">
        <f t="shared" si="6"/>
        <v>0</v>
      </c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5">
        <f t="shared" si="7"/>
        <v>0</v>
      </c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5">
        <f t="shared" si="8"/>
        <v>0</v>
      </c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5">
        <f t="shared" si="9"/>
        <v>0</v>
      </c>
      <c r="DF7" s="54"/>
      <c r="DG7" s="54"/>
      <c r="DH7" s="54"/>
      <c r="DI7" s="54"/>
      <c r="DJ7" s="54"/>
      <c r="DK7" s="54"/>
      <c r="DL7" s="54"/>
      <c r="DM7" s="54"/>
      <c r="DN7" s="54"/>
      <c r="DO7" s="54"/>
      <c r="DP7" s="54"/>
      <c r="DQ7" s="55">
        <f t="shared" si="10"/>
        <v>0</v>
      </c>
      <c r="DR7" s="54"/>
      <c r="DS7" s="54"/>
      <c r="DT7" s="54"/>
      <c r="DU7" s="54"/>
      <c r="DV7" s="54"/>
      <c r="DW7" s="54"/>
      <c r="DX7" s="54"/>
      <c r="DY7" s="54"/>
      <c r="DZ7" s="54"/>
      <c r="EA7" s="54"/>
      <c r="EB7" s="54"/>
      <c r="EC7" s="55">
        <f t="shared" si="11"/>
        <v>0</v>
      </c>
      <c r="ED7" s="54"/>
      <c r="EE7" s="54"/>
      <c r="EF7" s="54"/>
      <c r="EG7" s="54"/>
      <c r="EH7" s="54"/>
      <c r="EI7" s="54"/>
      <c r="EJ7" s="54"/>
      <c r="EK7" s="54"/>
      <c r="EL7" s="54"/>
      <c r="EM7" s="54"/>
      <c r="EN7" s="54"/>
      <c r="EO7" s="55">
        <f t="shared" si="12"/>
        <v>0</v>
      </c>
      <c r="EP7" s="55">
        <f t="shared" si="13"/>
        <v>44900</v>
      </c>
    </row>
    <row r="8" ht="24.0" customHeight="1">
      <c r="A8" s="52" t="s">
        <v>95</v>
      </c>
      <c r="B8" s="53">
        <v>1000.0</v>
      </c>
      <c r="C8" s="53">
        <v>8900.0</v>
      </c>
      <c r="D8" s="53">
        <v>5600.0</v>
      </c>
      <c r="E8" s="53">
        <v>9700.0</v>
      </c>
      <c r="F8" s="53">
        <v>7100.0</v>
      </c>
      <c r="G8" s="53">
        <v>5900.0</v>
      </c>
      <c r="H8" s="53">
        <v>4200.0</v>
      </c>
      <c r="I8" s="53">
        <v>7500.0</v>
      </c>
      <c r="J8" s="53">
        <v>5800.0</v>
      </c>
      <c r="K8" s="54"/>
      <c r="L8" s="54"/>
      <c r="M8" s="55">
        <f t="shared" si="1"/>
        <v>55700</v>
      </c>
      <c r="N8" s="53">
        <v>4900.0</v>
      </c>
      <c r="O8" s="54"/>
      <c r="P8" s="54"/>
      <c r="Q8" s="54"/>
      <c r="R8" s="54"/>
      <c r="S8" s="54"/>
      <c r="T8" s="54"/>
      <c r="U8" s="54"/>
      <c r="V8" s="54"/>
      <c r="W8" s="54"/>
      <c r="X8" s="54"/>
      <c r="Y8" s="55">
        <f t="shared" si="2"/>
        <v>4900</v>
      </c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5">
        <f t="shared" si="3"/>
        <v>0</v>
      </c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5">
        <f t="shared" si="4"/>
        <v>0</v>
      </c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5">
        <f t="shared" si="5"/>
        <v>0</v>
      </c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5">
        <f t="shared" si="6"/>
        <v>0</v>
      </c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5">
        <f t="shared" si="7"/>
        <v>0</v>
      </c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5">
        <f t="shared" si="8"/>
        <v>0</v>
      </c>
      <c r="CT8" s="54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5">
        <f t="shared" si="9"/>
        <v>0</v>
      </c>
      <c r="DF8" s="54"/>
      <c r="DG8" s="54"/>
      <c r="DH8" s="54"/>
      <c r="DI8" s="54"/>
      <c r="DJ8" s="54"/>
      <c r="DK8" s="54"/>
      <c r="DL8" s="54"/>
      <c r="DM8" s="54"/>
      <c r="DN8" s="54"/>
      <c r="DO8" s="54"/>
      <c r="DP8" s="54"/>
      <c r="DQ8" s="55">
        <f t="shared" si="10"/>
        <v>0</v>
      </c>
      <c r="DR8" s="54"/>
      <c r="DS8" s="54"/>
      <c r="DT8" s="54"/>
      <c r="DU8" s="54"/>
      <c r="DV8" s="54"/>
      <c r="DW8" s="54"/>
      <c r="DX8" s="54"/>
      <c r="DY8" s="54"/>
      <c r="DZ8" s="54"/>
      <c r="EA8" s="54"/>
      <c r="EB8" s="54"/>
      <c r="EC8" s="55">
        <f t="shared" si="11"/>
        <v>0</v>
      </c>
      <c r="ED8" s="54"/>
      <c r="EE8" s="54"/>
      <c r="EF8" s="54"/>
      <c r="EG8" s="54"/>
      <c r="EH8" s="54"/>
      <c r="EI8" s="54"/>
      <c r="EJ8" s="54"/>
      <c r="EK8" s="54"/>
      <c r="EL8" s="54"/>
      <c r="EM8" s="54"/>
      <c r="EN8" s="54"/>
      <c r="EO8" s="55">
        <f t="shared" si="12"/>
        <v>0</v>
      </c>
      <c r="EP8" s="55">
        <f t="shared" si="13"/>
        <v>60600</v>
      </c>
    </row>
    <row r="9" ht="24.0" customHeight="1">
      <c r="A9" s="52" t="s">
        <v>96</v>
      </c>
      <c r="B9" s="53">
        <v>6800.0</v>
      </c>
      <c r="C9" s="53">
        <v>10600.0</v>
      </c>
      <c r="D9" s="53">
        <v>7600.0</v>
      </c>
      <c r="E9" s="53">
        <v>3200.0</v>
      </c>
      <c r="F9" s="53">
        <v>2900.0</v>
      </c>
      <c r="G9" s="53">
        <v>6200.0</v>
      </c>
      <c r="H9" s="53">
        <v>4600.0</v>
      </c>
      <c r="I9" s="53">
        <v>4500.0</v>
      </c>
      <c r="J9" s="53">
        <v>3300.0</v>
      </c>
      <c r="K9" s="54"/>
      <c r="L9" s="54"/>
      <c r="M9" s="55">
        <f t="shared" si="1"/>
        <v>49700</v>
      </c>
      <c r="N9" s="53">
        <v>5500.0</v>
      </c>
      <c r="O9" s="54"/>
      <c r="P9" s="54"/>
      <c r="Q9" s="54"/>
      <c r="R9" s="54"/>
      <c r="S9" s="54"/>
      <c r="T9" s="54"/>
      <c r="U9" s="54"/>
      <c r="V9" s="54"/>
      <c r="W9" s="54"/>
      <c r="X9" s="54"/>
      <c r="Y9" s="55">
        <f t="shared" si="2"/>
        <v>5500</v>
      </c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5">
        <f t="shared" si="3"/>
        <v>0</v>
      </c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5">
        <f t="shared" si="4"/>
        <v>0</v>
      </c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5">
        <f t="shared" si="5"/>
        <v>0</v>
      </c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5">
        <f t="shared" si="6"/>
        <v>0</v>
      </c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5">
        <f t="shared" si="7"/>
        <v>0</v>
      </c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5">
        <f t="shared" si="8"/>
        <v>0</v>
      </c>
      <c r="CT9" s="54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5">
        <f t="shared" si="9"/>
        <v>0</v>
      </c>
      <c r="DF9" s="54"/>
      <c r="DG9" s="54"/>
      <c r="DH9" s="54"/>
      <c r="DI9" s="54"/>
      <c r="DJ9" s="54"/>
      <c r="DK9" s="54"/>
      <c r="DL9" s="54"/>
      <c r="DM9" s="54"/>
      <c r="DN9" s="54"/>
      <c r="DO9" s="54"/>
      <c r="DP9" s="54"/>
      <c r="DQ9" s="55">
        <f t="shared" si="10"/>
        <v>0</v>
      </c>
      <c r="DR9" s="54"/>
      <c r="DS9" s="54"/>
      <c r="DT9" s="54"/>
      <c r="DU9" s="54"/>
      <c r="DV9" s="54"/>
      <c r="DW9" s="54"/>
      <c r="DX9" s="54"/>
      <c r="DY9" s="54"/>
      <c r="DZ9" s="54"/>
      <c r="EA9" s="54"/>
      <c r="EB9" s="54"/>
      <c r="EC9" s="55">
        <f t="shared" si="11"/>
        <v>0</v>
      </c>
      <c r="ED9" s="54"/>
      <c r="EE9" s="54"/>
      <c r="EF9" s="54"/>
      <c r="EG9" s="54"/>
      <c r="EH9" s="54"/>
      <c r="EI9" s="54"/>
      <c r="EJ9" s="54"/>
      <c r="EK9" s="54"/>
      <c r="EL9" s="54"/>
      <c r="EM9" s="54"/>
      <c r="EN9" s="54"/>
      <c r="EO9" s="55">
        <f t="shared" si="12"/>
        <v>0</v>
      </c>
      <c r="EP9" s="55">
        <f t="shared" si="13"/>
        <v>55200</v>
      </c>
    </row>
    <row r="10" ht="24.0" customHeight="1">
      <c r="A10" s="56" t="s">
        <v>97</v>
      </c>
      <c r="B10" s="53">
        <v>1000.0</v>
      </c>
      <c r="C10" s="53">
        <v>4100.0</v>
      </c>
      <c r="D10" s="53">
        <v>3700.0</v>
      </c>
      <c r="E10" s="53">
        <v>4900.0</v>
      </c>
      <c r="F10" s="53">
        <v>1200.0</v>
      </c>
      <c r="G10" s="53">
        <v>2600.0</v>
      </c>
      <c r="H10" s="53">
        <v>2000.0</v>
      </c>
      <c r="I10" s="53">
        <v>3400.0</v>
      </c>
      <c r="J10" s="53">
        <v>2500.0</v>
      </c>
      <c r="K10" s="54"/>
      <c r="L10" s="54"/>
      <c r="M10" s="55">
        <f t="shared" si="1"/>
        <v>25400</v>
      </c>
      <c r="N10" s="53">
        <v>3300.0</v>
      </c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5">
        <f t="shared" si="2"/>
        <v>3300</v>
      </c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5">
        <f t="shared" si="3"/>
        <v>0</v>
      </c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5">
        <f t="shared" si="4"/>
        <v>0</v>
      </c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5">
        <f t="shared" si="5"/>
        <v>0</v>
      </c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5">
        <f t="shared" si="6"/>
        <v>0</v>
      </c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5">
        <f t="shared" si="7"/>
        <v>0</v>
      </c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5">
        <f t="shared" si="8"/>
        <v>0</v>
      </c>
      <c r="CT10" s="54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5">
        <f t="shared" si="9"/>
        <v>0</v>
      </c>
      <c r="DF10" s="54"/>
      <c r="DG10" s="54"/>
      <c r="DH10" s="54"/>
      <c r="DI10" s="54"/>
      <c r="DJ10" s="54"/>
      <c r="DK10" s="54"/>
      <c r="DL10" s="54"/>
      <c r="DM10" s="54"/>
      <c r="DN10" s="54"/>
      <c r="DO10" s="54"/>
      <c r="DP10" s="54"/>
      <c r="DQ10" s="55">
        <f t="shared" si="10"/>
        <v>0</v>
      </c>
      <c r="DR10" s="54"/>
      <c r="DS10" s="54"/>
      <c r="DT10" s="54"/>
      <c r="DU10" s="54"/>
      <c r="DV10" s="54"/>
      <c r="DW10" s="54"/>
      <c r="DX10" s="54"/>
      <c r="DY10" s="54"/>
      <c r="DZ10" s="54"/>
      <c r="EA10" s="54"/>
      <c r="EB10" s="54"/>
      <c r="EC10" s="55">
        <f t="shared" si="11"/>
        <v>0</v>
      </c>
      <c r="ED10" s="54"/>
      <c r="EE10" s="54"/>
      <c r="EF10" s="54"/>
      <c r="EG10" s="54"/>
      <c r="EH10" s="54"/>
      <c r="EI10" s="54"/>
      <c r="EJ10" s="54"/>
      <c r="EK10" s="54"/>
      <c r="EL10" s="54"/>
      <c r="EM10" s="54"/>
      <c r="EN10" s="54"/>
      <c r="EO10" s="55">
        <f t="shared" si="12"/>
        <v>0</v>
      </c>
      <c r="EP10" s="55">
        <f t="shared" si="13"/>
        <v>28700</v>
      </c>
    </row>
    <row r="11" ht="24.0" customHeight="1">
      <c r="A11" s="56" t="s">
        <v>98</v>
      </c>
      <c r="B11" s="53">
        <v>1600.0</v>
      </c>
      <c r="C11" s="53">
        <v>1700.0</v>
      </c>
      <c r="D11" s="53">
        <v>1900.0</v>
      </c>
      <c r="E11" s="53">
        <v>1400.0</v>
      </c>
      <c r="F11" s="53">
        <v>0.0</v>
      </c>
      <c r="G11" s="53">
        <v>700.0</v>
      </c>
      <c r="H11" s="53">
        <v>1000.0</v>
      </c>
      <c r="I11" s="53">
        <v>1700.0</v>
      </c>
      <c r="J11" s="53">
        <v>400.0</v>
      </c>
      <c r="K11" s="54"/>
      <c r="L11" s="54"/>
      <c r="M11" s="55">
        <f t="shared" si="1"/>
        <v>10400</v>
      </c>
      <c r="N11" s="53">
        <v>1700.0</v>
      </c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5">
        <f t="shared" si="2"/>
        <v>1700</v>
      </c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5">
        <f t="shared" si="3"/>
        <v>0</v>
      </c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5">
        <f t="shared" si="4"/>
        <v>0</v>
      </c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5">
        <f t="shared" si="5"/>
        <v>0</v>
      </c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5">
        <f t="shared" si="6"/>
        <v>0</v>
      </c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5">
        <f t="shared" si="7"/>
        <v>0</v>
      </c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5">
        <f t="shared" si="8"/>
        <v>0</v>
      </c>
      <c r="CT11" s="54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5">
        <f t="shared" si="9"/>
        <v>0</v>
      </c>
      <c r="DF11" s="54"/>
      <c r="DG11" s="54"/>
      <c r="DH11" s="54"/>
      <c r="DI11" s="54"/>
      <c r="DJ11" s="54"/>
      <c r="DK11" s="54"/>
      <c r="DL11" s="54"/>
      <c r="DM11" s="54"/>
      <c r="DN11" s="54"/>
      <c r="DO11" s="54"/>
      <c r="DP11" s="54"/>
      <c r="DQ11" s="55">
        <f t="shared" si="10"/>
        <v>0</v>
      </c>
      <c r="DR11" s="54"/>
      <c r="DS11" s="54"/>
      <c r="DT11" s="54"/>
      <c r="DU11" s="54"/>
      <c r="DV11" s="54"/>
      <c r="DW11" s="54"/>
      <c r="DX11" s="54"/>
      <c r="DY11" s="54"/>
      <c r="DZ11" s="54"/>
      <c r="EA11" s="54"/>
      <c r="EB11" s="54"/>
      <c r="EC11" s="55">
        <f t="shared" si="11"/>
        <v>0</v>
      </c>
      <c r="ED11" s="54"/>
      <c r="EE11" s="54"/>
      <c r="EF11" s="54"/>
      <c r="EG11" s="54"/>
      <c r="EH11" s="54"/>
      <c r="EI11" s="54"/>
      <c r="EJ11" s="54"/>
      <c r="EK11" s="54"/>
      <c r="EL11" s="54"/>
      <c r="EM11" s="54"/>
      <c r="EN11" s="54"/>
      <c r="EO11" s="55">
        <f t="shared" si="12"/>
        <v>0</v>
      </c>
      <c r="EP11" s="55">
        <f t="shared" si="13"/>
        <v>12100</v>
      </c>
    </row>
    <row r="12" ht="27.75" customHeight="1">
      <c r="A12" s="57" t="s">
        <v>99</v>
      </c>
      <c r="B12" s="53">
        <v>21200.0</v>
      </c>
      <c r="C12" s="53">
        <v>20100.0</v>
      </c>
      <c r="D12" s="53">
        <v>12600.0</v>
      </c>
      <c r="E12" s="53">
        <v>19600.0</v>
      </c>
      <c r="F12" s="53">
        <v>15700.0</v>
      </c>
      <c r="G12" s="53">
        <v>19600.0</v>
      </c>
      <c r="H12" s="53">
        <v>11600.0</v>
      </c>
      <c r="I12" s="53">
        <v>18400.0</v>
      </c>
      <c r="J12" s="53">
        <v>14000.0</v>
      </c>
      <c r="K12" s="54"/>
      <c r="L12" s="54"/>
      <c r="M12" s="55">
        <f t="shared" si="1"/>
        <v>152800</v>
      </c>
      <c r="N12" s="53">
        <v>19300.0</v>
      </c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5">
        <f t="shared" si="2"/>
        <v>19300</v>
      </c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5">
        <f t="shared" si="3"/>
        <v>0</v>
      </c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5">
        <f t="shared" si="4"/>
        <v>0</v>
      </c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5">
        <f t="shared" si="5"/>
        <v>0</v>
      </c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5">
        <f t="shared" si="6"/>
        <v>0</v>
      </c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5">
        <f t="shared" si="7"/>
        <v>0</v>
      </c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5">
        <f t="shared" si="8"/>
        <v>0</v>
      </c>
      <c r="CT12" s="54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5">
        <f t="shared" si="9"/>
        <v>0</v>
      </c>
      <c r="DF12" s="54"/>
      <c r="DG12" s="54"/>
      <c r="DH12" s="54"/>
      <c r="DI12" s="54"/>
      <c r="DJ12" s="54"/>
      <c r="DK12" s="54"/>
      <c r="DL12" s="54"/>
      <c r="DM12" s="54"/>
      <c r="DN12" s="54"/>
      <c r="DO12" s="54"/>
      <c r="DP12" s="54"/>
      <c r="DQ12" s="55">
        <f t="shared" si="10"/>
        <v>0</v>
      </c>
      <c r="DR12" s="54"/>
      <c r="DS12" s="54"/>
      <c r="DT12" s="54"/>
      <c r="DU12" s="54"/>
      <c r="DV12" s="54"/>
      <c r="DW12" s="54"/>
      <c r="DX12" s="54"/>
      <c r="DY12" s="54"/>
      <c r="DZ12" s="54"/>
      <c r="EA12" s="54"/>
      <c r="EB12" s="54"/>
      <c r="EC12" s="55">
        <f t="shared" si="11"/>
        <v>0</v>
      </c>
      <c r="ED12" s="54"/>
      <c r="EE12" s="54"/>
      <c r="EF12" s="54"/>
      <c r="EG12" s="54"/>
      <c r="EH12" s="54"/>
      <c r="EI12" s="54"/>
      <c r="EJ12" s="54"/>
      <c r="EK12" s="54"/>
      <c r="EL12" s="54"/>
      <c r="EM12" s="54"/>
      <c r="EN12" s="54"/>
      <c r="EO12" s="55">
        <f t="shared" si="12"/>
        <v>0</v>
      </c>
      <c r="EP12" s="55">
        <f t="shared" si="13"/>
        <v>172100</v>
      </c>
    </row>
    <row r="13" ht="15.0" customHeight="1">
      <c r="A13" s="37" t="s">
        <v>100</v>
      </c>
      <c r="B13" s="58">
        <f t="shared" ref="B13:L13" si="14">SUM(B5:B12)</f>
        <v>39000</v>
      </c>
      <c r="C13" s="58">
        <f t="shared" si="14"/>
        <v>58900</v>
      </c>
      <c r="D13" s="58">
        <f t="shared" si="14"/>
        <v>47300</v>
      </c>
      <c r="E13" s="58">
        <f t="shared" si="14"/>
        <v>51800</v>
      </c>
      <c r="F13" s="58">
        <f t="shared" si="14"/>
        <v>34900</v>
      </c>
      <c r="G13" s="58">
        <f t="shared" si="14"/>
        <v>40200</v>
      </c>
      <c r="H13" s="58">
        <f t="shared" si="14"/>
        <v>32200</v>
      </c>
      <c r="I13" s="58">
        <f t="shared" si="14"/>
        <v>41700</v>
      </c>
      <c r="J13" s="58">
        <f t="shared" si="14"/>
        <v>34500</v>
      </c>
      <c r="K13" s="58">
        <f t="shared" si="14"/>
        <v>0</v>
      </c>
      <c r="L13" s="58">
        <f t="shared" si="14"/>
        <v>0</v>
      </c>
      <c r="M13" s="59">
        <f t="shared" si="1"/>
        <v>380500</v>
      </c>
      <c r="N13" s="58">
        <f t="shared" ref="N13:X13" si="15">SUM(N5:N12)</f>
        <v>40700</v>
      </c>
      <c r="O13" s="58">
        <f t="shared" si="15"/>
        <v>0</v>
      </c>
      <c r="P13" s="58">
        <f t="shared" si="15"/>
        <v>0</v>
      </c>
      <c r="Q13" s="58">
        <f t="shared" si="15"/>
        <v>0</v>
      </c>
      <c r="R13" s="58">
        <f t="shared" si="15"/>
        <v>0</v>
      </c>
      <c r="S13" s="58">
        <f t="shared" si="15"/>
        <v>0</v>
      </c>
      <c r="T13" s="58">
        <f t="shared" si="15"/>
        <v>0</v>
      </c>
      <c r="U13" s="58">
        <f t="shared" si="15"/>
        <v>0</v>
      </c>
      <c r="V13" s="58">
        <f t="shared" si="15"/>
        <v>0</v>
      </c>
      <c r="W13" s="58">
        <f t="shared" si="15"/>
        <v>0</v>
      </c>
      <c r="X13" s="58">
        <f t="shared" si="15"/>
        <v>0</v>
      </c>
      <c r="Y13" s="59">
        <f t="shared" si="2"/>
        <v>40700</v>
      </c>
      <c r="Z13" s="58">
        <f t="shared" ref="Z13:AJ13" si="16">SUM(Z5:Z12)</f>
        <v>0</v>
      </c>
      <c r="AA13" s="58">
        <f t="shared" si="16"/>
        <v>0</v>
      </c>
      <c r="AB13" s="58">
        <f t="shared" si="16"/>
        <v>0</v>
      </c>
      <c r="AC13" s="58">
        <f t="shared" si="16"/>
        <v>0</v>
      </c>
      <c r="AD13" s="58">
        <f t="shared" si="16"/>
        <v>0</v>
      </c>
      <c r="AE13" s="58">
        <f t="shared" si="16"/>
        <v>0</v>
      </c>
      <c r="AF13" s="58">
        <f t="shared" si="16"/>
        <v>0</v>
      </c>
      <c r="AG13" s="58">
        <f t="shared" si="16"/>
        <v>0</v>
      </c>
      <c r="AH13" s="58">
        <f t="shared" si="16"/>
        <v>0</v>
      </c>
      <c r="AI13" s="58">
        <f t="shared" si="16"/>
        <v>0</v>
      </c>
      <c r="AJ13" s="58">
        <f t="shared" si="16"/>
        <v>0</v>
      </c>
      <c r="AK13" s="59">
        <f t="shared" si="3"/>
        <v>0</v>
      </c>
      <c r="AL13" s="58">
        <f t="shared" ref="AL13:AV13" si="17">SUM(AL5:AL12)</f>
        <v>0</v>
      </c>
      <c r="AM13" s="58">
        <f t="shared" si="17"/>
        <v>0</v>
      </c>
      <c r="AN13" s="58">
        <f t="shared" si="17"/>
        <v>0</v>
      </c>
      <c r="AO13" s="58">
        <f t="shared" si="17"/>
        <v>0</v>
      </c>
      <c r="AP13" s="58">
        <f t="shared" si="17"/>
        <v>0</v>
      </c>
      <c r="AQ13" s="58">
        <f t="shared" si="17"/>
        <v>0</v>
      </c>
      <c r="AR13" s="58">
        <f t="shared" si="17"/>
        <v>0</v>
      </c>
      <c r="AS13" s="58">
        <f t="shared" si="17"/>
        <v>0</v>
      </c>
      <c r="AT13" s="58">
        <f t="shared" si="17"/>
        <v>0</v>
      </c>
      <c r="AU13" s="58">
        <f t="shared" si="17"/>
        <v>0</v>
      </c>
      <c r="AV13" s="58">
        <f t="shared" si="17"/>
        <v>0</v>
      </c>
      <c r="AW13" s="59">
        <f t="shared" si="4"/>
        <v>0</v>
      </c>
      <c r="AX13" s="58">
        <f t="shared" ref="AX13:BH13" si="18">SUM(AX5:AX12)</f>
        <v>0</v>
      </c>
      <c r="AY13" s="58">
        <f t="shared" si="18"/>
        <v>0</v>
      </c>
      <c r="AZ13" s="58">
        <f t="shared" si="18"/>
        <v>0</v>
      </c>
      <c r="BA13" s="58">
        <f t="shared" si="18"/>
        <v>0</v>
      </c>
      <c r="BB13" s="58">
        <f t="shared" si="18"/>
        <v>0</v>
      </c>
      <c r="BC13" s="58">
        <f t="shared" si="18"/>
        <v>0</v>
      </c>
      <c r="BD13" s="58">
        <f t="shared" si="18"/>
        <v>0</v>
      </c>
      <c r="BE13" s="58">
        <f t="shared" si="18"/>
        <v>0</v>
      </c>
      <c r="BF13" s="58">
        <f t="shared" si="18"/>
        <v>0</v>
      </c>
      <c r="BG13" s="58">
        <f t="shared" si="18"/>
        <v>0</v>
      </c>
      <c r="BH13" s="58">
        <f t="shared" si="18"/>
        <v>0</v>
      </c>
      <c r="BI13" s="59">
        <f t="shared" si="5"/>
        <v>0</v>
      </c>
      <c r="BJ13" s="58">
        <f t="shared" ref="BJ13:BT13" si="19">SUM(BJ5:BJ12)</f>
        <v>0</v>
      </c>
      <c r="BK13" s="58">
        <f t="shared" si="19"/>
        <v>0</v>
      </c>
      <c r="BL13" s="58">
        <f t="shared" si="19"/>
        <v>0</v>
      </c>
      <c r="BM13" s="58">
        <f t="shared" si="19"/>
        <v>0</v>
      </c>
      <c r="BN13" s="58">
        <f t="shared" si="19"/>
        <v>0</v>
      </c>
      <c r="BO13" s="58">
        <f t="shared" si="19"/>
        <v>0</v>
      </c>
      <c r="BP13" s="58">
        <f t="shared" si="19"/>
        <v>0</v>
      </c>
      <c r="BQ13" s="58">
        <f t="shared" si="19"/>
        <v>0</v>
      </c>
      <c r="BR13" s="58">
        <f t="shared" si="19"/>
        <v>0</v>
      </c>
      <c r="BS13" s="58">
        <f t="shared" si="19"/>
        <v>0</v>
      </c>
      <c r="BT13" s="58">
        <f t="shared" si="19"/>
        <v>0</v>
      </c>
      <c r="BU13" s="59">
        <f t="shared" si="6"/>
        <v>0</v>
      </c>
      <c r="BV13" s="58">
        <f t="shared" ref="BV13:CF13" si="20">SUM(BV5:BV12)</f>
        <v>0</v>
      </c>
      <c r="BW13" s="58">
        <f t="shared" si="20"/>
        <v>0</v>
      </c>
      <c r="BX13" s="58">
        <f t="shared" si="20"/>
        <v>0</v>
      </c>
      <c r="BY13" s="58">
        <f t="shared" si="20"/>
        <v>0</v>
      </c>
      <c r="BZ13" s="58">
        <f t="shared" si="20"/>
        <v>0</v>
      </c>
      <c r="CA13" s="58">
        <f t="shared" si="20"/>
        <v>0</v>
      </c>
      <c r="CB13" s="58">
        <f t="shared" si="20"/>
        <v>0</v>
      </c>
      <c r="CC13" s="58">
        <f t="shared" si="20"/>
        <v>0</v>
      </c>
      <c r="CD13" s="58">
        <f t="shared" si="20"/>
        <v>0</v>
      </c>
      <c r="CE13" s="58">
        <f t="shared" si="20"/>
        <v>0</v>
      </c>
      <c r="CF13" s="58">
        <f t="shared" si="20"/>
        <v>0</v>
      </c>
      <c r="CG13" s="59">
        <f t="shared" si="7"/>
        <v>0</v>
      </c>
      <c r="CH13" s="58">
        <f t="shared" ref="CH13:CR13" si="21">SUM(CH5:CH12)</f>
        <v>0</v>
      </c>
      <c r="CI13" s="58">
        <f t="shared" si="21"/>
        <v>0</v>
      </c>
      <c r="CJ13" s="58">
        <f t="shared" si="21"/>
        <v>0</v>
      </c>
      <c r="CK13" s="58">
        <f t="shared" si="21"/>
        <v>0</v>
      </c>
      <c r="CL13" s="58">
        <f t="shared" si="21"/>
        <v>0</v>
      </c>
      <c r="CM13" s="58">
        <f t="shared" si="21"/>
        <v>0</v>
      </c>
      <c r="CN13" s="58">
        <f t="shared" si="21"/>
        <v>0</v>
      </c>
      <c r="CO13" s="58">
        <f t="shared" si="21"/>
        <v>0</v>
      </c>
      <c r="CP13" s="58">
        <f t="shared" si="21"/>
        <v>0</v>
      </c>
      <c r="CQ13" s="58">
        <f t="shared" si="21"/>
        <v>0</v>
      </c>
      <c r="CR13" s="58">
        <f t="shared" si="21"/>
        <v>0</v>
      </c>
      <c r="CS13" s="59">
        <f t="shared" si="8"/>
        <v>0</v>
      </c>
      <c r="CT13" s="58">
        <f t="shared" ref="CT13:DD13" si="22">SUM(CT5:CT12)</f>
        <v>0</v>
      </c>
      <c r="CU13" s="58">
        <f t="shared" si="22"/>
        <v>0</v>
      </c>
      <c r="CV13" s="58">
        <f t="shared" si="22"/>
        <v>0</v>
      </c>
      <c r="CW13" s="58">
        <f t="shared" si="22"/>
        <v>0</v>
      </c>
      <c r="CX13" s="58">
        <f t="shared" si="22"/>
        <v>0</v>
      </c>
      <c r="CY13" s="58">
        <f t="shared" si="22"/>
        <v>0</v>
      </c>
      <c r="CZ13" s="58">
        <f t="shared" si="22"/>
        <v>0</v>
      </c>
      <c r="DA13" s="58">
        <f t="shared" si="22"/>
        <v>0</v>
      </c>
      <c r="DB13" s="58">
        <f t="shared" si="22"/>
        <v>0</v>
      </c>
      <c r="DC13" s="58">
        <f t="shared" si="22"/>
        <v>0</v>
      </c>
      <c r="DD13" s="58">
        <f t="shared" si="22"/>
        <v>0</v>
      </c>
      <c r="DE13" s="59">
        <f t="shared" si="9"/>
        <v>0</v>
      </c>
      <c r="DF13" s="58">
        <f t="shared" ref="DF13:DP13" si="23">SUM(DF5:DF12)</f>
        <v>0</v>
      </c>
      <c r="DG13" s="58">
        <f t="shared" si="23"/>
        <v>0</v>
      </c>
      <c r="DH13" s="58">
        <f t="shared" si="23"/>
        <v>0</v>
      </c>
      <c r="DI13" s="58">
        <f t="shared" si="23"/>
        <v>0</v>
      </c>
      <c r="DJ13" s="58">
        <f t="shared" si="23"/>
        <v>0</v>
      </c>
      <c r="DK13" s="58">
        <f t="shared" si="23"/>
        <v>0</v>
      </c>
      <c r="DL13" s="58">
        <f t="shared" si="23"/>
        <v>0</v>
      </c>
      <c r="DM13" s="58">
        <f t="shared" si="23"/>
        <v>0</v>
      </c>
      <c r="DN13" s="58">
        <f t="shared" si="23"/>
        <v>0</v>
      </c>
      <c r="DO13" s="58">
        <f t="shared" si="23"/>
        <v>0</v>
      </c>
      <c r="DP13" s="58">
        <f t="shared" si="23"/>
        <v>0</v>
      </c>
      <c r="DQ13" s="59">
        <f t="shared" si="10"/>
        <v>0</v>
      </c>
      <c r="DR13" s="58">
        <f t="shared" ref="DR13:EB13" si="24">SUM(DR5:DR12)</f>
        <v>0</v>
      </c>
      <c r="DS13" s="58">
        <f t="shared" si="24"/>
        <v>0</v>
      </c>
      <c r="DT13" s="58">
        <f t="shared" si="24"/>
        <v>0</v>
      </c>
      <c r="DU13" s="58">
        <f t="shared" si="24"/>
        <v>0</v>
      </c>
      <c r="DV13" s="58">
        <f t="shared" si="24"/>
        <v>0</v>
      </c>
      <c r="DW13" s="58">
        <f t="shared" si="24"/>
        <v>0</v>
      </c>
      <c r="DX13" s="58">
        <f t="shared" si="24"/>
        <v>0</v>
      </c>
      <c r="DY13" s="58">
        <f t="shared" si="24"/>
        <v>0</v>
      </c>
      <c r="DZ13" s="58">
        <f t="shared" si="24"/>
        <v>0</v>
      </c>
      <c r="EA13" s="58">
        <f t="shared" si="24"/>
        <v>0</v>
      </c>
      <c r="EB13" s="58">
        <f t="shared" si="24"/>
        <v>0</v>
      </c>
      <c r="EC13" s="59">
        <f t="shared" si="11"/>
        <v>0</v>
      </c>
      <c r="ED13" s="58">
        <f t="shared" ref="ED13:EN13" si="25">SUM(ED5:ED12)</f>
        <v>0</v>
      </c>
      <c r="EE13" s="58">
        <f t="shared" si="25"/>
        <v>0</v>
      </c>
      <c r="EF13" s="58">
        <f t="shared" si="25"/>
        <v>0</v>
      </c>
      <c r="EG13" s="58">
        <f t="shared" si="25"/>
        <v>0</v>
      </c>
      <c r="EH13" s="58">
        <f t="shared" si="25"/>
        <v>0</v>
      </c>
      <c r="EI13" s="58">
        <f t="shared" si="25"/>
        <v>0</v>
      </c>
      <c r="EJ13" s="58">
        <f t="shared" si="25"/>
        <v>0</v>
      </c>
      <c r="EK13" s="58">
        <f t="shared" si="25"/>
        <v>0</v>
      </c>
      <c r="EL13" s="58">
        <f t="shared" si="25"/>
        <v>0</v>
      </c>
      <c r="EM13" s="58">
        <f t="shared" si="25"/>
        <v>0</v>
      </c>
      <c r="EN13" s="58">
        <f t="shared" si="25"/>
        <v>0</v>
      </c>
      <c r="EO13" s="59">
        <f t="shared" si="12"/>
        <v>0</v>
      </c>
      <c r="EP13" s="59">
        <f t="shared" si="13"/>
        <v>421200</v>
      </c>
    </row>
    <row r="14" ht="27.75" customHeight="1">
      <c r="A14" s="60" t="s">
        <v>101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39"/>
    </row>
    <row r="15" ht="25.5" customHeight="1">
      <c r="A15" s="61" t="s">
        <v>102</v>
      </c>
      <c r="B15" s="62">
        <v>32.0</v>
      </c>
      <c r="C15" s="62">
        <v>65.0</v>
      </c>
      <c r="D15" s="62">
        <v>30.0</v>
      </c>
      <c r="E15" s="62">
        <v>30.0</v>
      </c>
      <c r="F15" s="62">
        <v>28.0</v>
      </c>
      <c r="G15" s="62">
        <v>35.0</v>
      </c>
      <c r="H15" s="62">
        <v>30.0</v>
      </c>
      <c r="I15" s="62">
        <v>33.0</v>
      </c>
      <c r="J15" s="62">
        <v>30.0</v>
      </c>
      <c r="K15" s="63"/>
      <c r="L15" s="63"/>
      <c r="M15" s="64">
        <f t="shared" ref="M15:M16" si="27">SUM(B15:L15)</f>
        <v>313</v>
      </c>
      <c r="N15" s="62">
        <v>40.0</v>
      </c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4">
        <f t="shared" ref="Y15:Y16" si="29">SUM(N15:X15)</f>
        <v>40</v>
      </c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4">
        <f t="shared" ref="AK15:AK16" si="31">SUM(Z15:AJ15)</f>
        <v>0</v>
      </c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4">
        <f t="shared" ref="AW15:AW16" si="33">SUM(AL15:AV15)</f>
        <v>0</v>
      </c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4">
        <f t="shared" ref="BI15:BI16" si="35">SUM(AX15:BH15)</f>
        <v>0</v>
      </c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4">
        <f t="shared" ref="BU15:BU16" si="37">SUM(BJ15:BT15)</f>
        <v>0</v>
      </c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  <c r="CG15" s="64">
        <f t="shared" ref="CG15:CG16" si="39">SUM(BV15:CF15)</f>
        <v>0</v>
      </c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4">
        <f t="shared" ref="CS15:CS16" si="41">SUM(CH15:CR15)</f>
        <v>0</v>
      </c>
      <c r="CT15" s="63"/>
      <c r="CU15" s="63"/>
      <c r="CV15" s="63"/>
      <c r="CW15" s="63"/>
      <c r="CX15" s="63"/>
      <c r="CY15" s="63"/>
      <c r="CZ15" s="63"/>
      <c r="DA15" s="63"/>
      <c r="DB15" s="63"/>
      <c r="DC15" s="63"/>
      <c r="DD15" s="63"/>
      <c r="DE15" s="64">
        <f t="shared" ref="DE15:DE16" si="43">SUM(CT15:DD15)</f>
        <v>0</v>
      </c>
      <c r="DF15" s="63"/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4">
        <f t="shared" ref="DQ15:DQ16" si="45">SUM(DF15:DP15)</f>
        <v>0</v>
      </c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4">
        <f t="shared" ref="EC15:EC16" si="47">SUM(DR15:EB15)</f>
        <v>0</v>
      </c>
      <c r="ED15" s="63"/>
      <c r="EE15" s="63"/>
      <c r="EF15" s="63"/>
      <c r="EG15" s="63"/>
      <c r="EH15" s="63"/>
      <c r="EI15" s="63"/>
      <c r="EJ15" s="63"/>
      <c r="EK15" s="63"/>
      <c r="EL15" s="63"/>
      <c r="EM15" s="63"/>
      <c r="EN15" s="63"/>
      <c r="EO15" s="64">
        <f t="shared" ref="EO15:EO16" si="49">SUM(ED15:EN15)</f>
        <v>0</v>
      </c>
      <c r="EP15" s="64">
        <f t="shared" ref="EP15:EP16" si="50">M15+Y15+AK15+AW15+BI15+BU15+CG15+CS15+DE15+DQ15+EC15+EO15</f>
        <v>353</v>
      </c>
    </row>
    <row r="16" ht="25.5" customHeight="1">
      <c r="A16" s="65" t="s">
        <v>103</v>
      </c>
      <c r="B16" s="66">
        <f t="shared" ref="B16:L16" si="26">IF(B15&lt;&gt;"",B15*1000,"")</f>
        <v>32000</v>
      </c>
      <c r="C16" s="66">
        <f t="shared" si="26"/>
        <v>65000</v>
      </c>
      <c r="D16" s="66">
        <f t="shared" si="26"/>
        <v>30000</v>
      </c>
      <c r="E16" s="66">
        <f t="shared" si="26"/>
        <v>30000</v>
      </c>
      <c r="F16" s="66">
        <f t="shared" si="26"/>
        <v>28000</v>
      </c>
      <c r="G16" s="66">
        <f t="shared" si="26"/>
        <v>35000</v>
      </c>
      <c r="H16" s="66">
        <f t="shared" si="26"/>
        <v>30000</v>
      </c>
      <c r="I16" s="66">
        <f t="shared" si="26"/>
        <v>33000</v>
      </c>
      <c r="J16" s="66">
        <f t="shared" si="26"/>
        <v>30000</v>
      </c>
      <c r="K16" s="66" t="str">
        <f t="shared" si="26"/>
        <v/>
      </c>
      <c r="L16" s="66" t="str">
        <f t="shared" si="26"/>
        <v/>
      </c>
      <c r="M16" s="64">
        <f t="shared" si="27"/>
        <v>313000</v>
      </c>
      <c r="N16" s="66">
        <f t="shared" ref="N16:X16" si="28">IF(N15&lt;&gt;"",N15*1000,"")</f>
        <v>40000</v>
      </c>
      <c r="O16" s="66" t="str">
        <f t="shared" si="28"/>
        <v/>
      </c>
      <c r="P16" s="66" t="str">
        <f t="shared" si="28"/>
        <v/>
      </c>
      <c r="Q16" s="66" t="str">
        <f t="shared" si="28"/>
        <v/>
      </c>
      <c r="R16" s="66" t="str">
        <f t="shared" si="28"/>
        <v/>
      </c>
      <c r="S16" s="66" t="str">
        <f t="shared" si="28"/>
        <v/>
      </c>
      <c r="T16" s="66" t="str">
        <f t="shared" si="28"/>
        <v/>
      </c>
      <c r="U16" s="66" t="str">
        <f t="shared" si="28"/>
        <v/>
      </c>
      <c r="V16" s="66" t="str">
        <f t="shared" si="28"/>
        <v/>
      </c>
      <c r="W16" s="66" t="str">
        <f t="shared" si="28"/>
        <v/>
      </c>
      <c r="X16" s="66" t="str">
        <f t="shared" si="28"/>
        <v/>
      </c>
      <c r="Y16" s="64">
        <f t="shared" si="29"/>
        <v>40000</v>
      </c>
      <c r="Z16" s="66" t="str">
        <f t="shared" ref="Z16:AJ16" si="30">IF(Z15&lt;&gt;"",Z15*1000,"")</f>
        <v/>
      </c>
      <c r="AA16" s="66" t="str">
        <f t="shared" si="30"/>
        <v/>
      </c>
      <c r="AB16" s="66" t="str">
        <f t="shared" si="30"/>
        <v/>
      </c>
      <c r="AC16" s="66" t="str">
        <f t="shared" si="30"/>
        <v/>
      </c>
      <c r="AD16" s="66" t="str">
        <f t="shared" si="30"/>
        <v/>
      </c>
      <c r="AE16" s="66" t="str">
        <f t="shared" si="30"/>
        <v/>
      </c>
      <c r="AF16" s="66" t="str">
        <f t="shared" si="30"/>
        <v/>
      </c>
      <c r="AG16" s="66" t="str">
        <f t="shared" si="30"/>
        <v/>
      </c>
      <c r="AH16" s="66" t="str">
        <f t="shared" si="30"/>
        <v/>
      </c>
      <c r="AI16" s="66" t="str">
        <f t="shared" si="30"/>
        <v/>
      </c>
      <c r="AJ16" s="66" t="str">
        <f t="shared" si="30"/>
        <v/>
      </c>
      <c r="AK16" s="64">
        <f t="shared" si="31"/>
        <v>0</v>
      </c>
      <c r="AL16" s="66" t="str">
        <f t="shared" ref="AL16:AV16" si="32">IF(AL15&lt;&gt;"",AL15*1000,"")</f>
        <v/>
      </c>
      <c r="AM16" s="66" t="str">
        <f t="shared" si="32"/>
        <v/>
      </c>
      <c r="AN16" s="66" t="str">
        <f t="shared" si="32"/>
        <v/>
      </c>
      <c r="AO16" s="66" t="str">
        <f t="shared" si="32"/>
        <v/>
      </c>
      <c r="AP16" s="66" t="str">
        <f t="shared" si="32"/>
        <v/>
      </c>
      <c r="AQ16" s="66" t="str">
        <f t="shared" si="32"/>
        <v/>
      </c>
      <c r="AR16" s="66" t="str">
        <f t="shared" si="32"/>
        <v/>
      </c>
      <c r="AS16" s="66" t="str">
        <f t="shared" si="32"/>
        <v/>
      </c>
      <c r="AT16" s="66" t="str">
        <f t="shared" si="32"/>
        <v/>
      </c>
      <c r="AU16" s="66" t="str">
        <f t="shared" si="32"/>
        <v/>
      </c>
      <c r="AV16" s="66" t="str">
        <f t="shared" si="32"/>
        <v/>
      </c>
      <c r="AW16" s="64">
        <f t="shared" si="33"/>
        <v>0</v>
      </c>
      <c r="AX16" s="66" t="str">
        <f t="shared" ref="AX16:BH16" si="34">IF(AX15&lt;&gt;"",AX15*1000,"")</f>
        <v/>
      </c>
      <c r="AY16" s="66" t="str">
        <f t="shared" si="34"/>
        <v/>
      </c>
      <c r="AZ16" s="66" t="str">
        <f t="shared" si="34"/>
        <v/>
      </c>
      <c r="BA16" s="66" t="str">
        <f t="shared" si="34"/>
        <v/>
      </c>
      <c r="BB16" s="66" t="str">
        <f t="shared" si="34"/>
        <v/>
      </c>
      <c r="BC16" s="66" t="str">
        <f t="shared" si="34"/>
        <v/>
      </c>
      <c r="BD16" s="66" t="str">
        <f t="shared" si="34"/>
        <v/>
      </c>
      <c r="BE16" s="66" t="str">
        <f t="shared" si="34"/>
        <v/>
      </c>
      <c r="BF16" s="66" t="str">
        <f t="shared" si="34"/>
        <v/>
      </c>
      <c r="BG16" s="66" t="str">
        <f t="shared" si="34"/>
        <v/>
      </c>
      <c r="BH16" s="66" t="str">
        <f t="shared" si="34"/>
        <v/>
      </c>
      <c r="BI16" s="64">
        <f t="shared" si="35"/>
        <v>0</v>
      </c>
      <c r="BJ16" s="66" t="str">
        <f t="shared" ref="BJ16:BT16" si="36">IF(BJ15&lt;&gt;"",BJ15*1000,"")</f>
        <v/>
      </c>
      <c r="BK16" s="66" t="str">
        <f t="shared" si="36"/>
        <v/>
      </c>
      <c r="BL16" s="66" t="str">
        <f t="shared" si="36"/>
        <v/>
      </c>
      <c r="BM16" s="66" t="str">
        <f t="shared" si="36"/>
        <v/>
      </c>
      <c r="BN16" s="66" t="str">
        <f t="shared" si="36"/>
        <v/>
      </c>
      <c r="BO16" s="66" t="str">
        <f t="shared" si="36"/>
        <v/>
      </c>
      <c r="BP16" s="66" t="str">
        <f t="shared" si="36"/>
        <v/>
      </c>
      <c r="BQ16" s="66" t="str">
        <f t="shared" si="36"/>
        <v/>
      </c>
      <c r="BR16" s="66" t="str">
        <f t="shared" si="36"/>
        <v/>
      </c>
      <c r="BS16" s="66" t="str">
        <f t="shared" si="36"/>
        <v/>
      </c>
      <c r="BT16" s="66" t="str">
        <f t="shared" si="36"/>
        <v/>
      </c>
      <c r="BU16" s="64">
        <f t="shared" si="37"/>
        <v>0</v>
      </c>
      <c r="BV16" s="66" t="str">
        <f t="shared" ref="BV16:CF16" si="38">IF(BV15&lt;&gt;"",BV15*1000,"")</f>
        <v/>
      </c>
      <c r="BW16" s="66" t="str">
        <f t="shared" si="38"/>
        <v/>
      </c>
      <c r="BX16" s="66" t="str">
        <f t="shared" si="38"/>
        <v/>
      </c>
      <c r="BY16" s="66" t="str">
        <f t="shared" si="38"/>
        <v/>
      </c>
      <c r="BZ16" s="66" t="str">
        <f t="shared" si="38"/>
        <v/>
      </c>
      <c r="CA16" s="66" t="str">
        <f t="shared" si="38"/>
        <v/>
      </c>
      <c r="CB16" s="66" t="str">
        <f t="shared" si="38"/>
        <v/>
      </c>
      <c r="CC16" s="66" t="str">
        <f t="shared" si="38"/>
        <v/>
      </c>
      <c r="CD16" s="66" t="str">
        <f t="shared" si="38"/>
        <v/>
      </c>
      <c r="CE16" s="66" t="str">
        <f t="shared" si="38"/>
        <v/>
      </c>
      <c r="CF16" s="66" t="str">
        <f t="shared" si="38"/>
        <v/>
      </c>
      <c r="CG16" s="64">
        <f t="shared" si="39"/>
        <v>0</v>
      </c>
      <c r="CH16" s="66" t="str">
        <f t="shared" ref="CH16:CR16" si="40">IF(CH15&lt;&gt;"",CH15*1000,"")</f>
        <v/>
      </c>
      <c r="CI16" s="66" t="str">
        <f t="shared" si="40"/>
        <v/>
      </c>
      <c r="CJ16" s="66" t="str">
        <f t="shared" si="40"/>
        <v/>
      </c>
      <c r="CK16" s="66" t="str">
        <f t="shared" si="40"/>
        <v/>
      </c>
      <c r="CL16" s="66" t="str">
        <f t="shared" si="40"/>
        <v/>
      </c>
      <c r="CM16" s="66" t="str">
        <f t="shared" si="40"/>
        <v/>
      </c>
      <c r="CN16" s="66" t="str">
        <f t="shared" si="40"/>
        <v/>
      </c>
      <c r="CO16" s="66" t="str">
        <f t="shared" si="40"/>
        <v/>
      </c>
      <c r="CP16" s="66" t="str">
        <f t="shared" si="40"/>
        <v/>
      </c>
      <c r="CQ16" s="66" t="str">
        <f t="shared" si="40"/>
        <v/>
      </c>
      <c r="CR16" s="66" t="str">
        <f t="shared" si="40"/>
        <v/>
      </c>
      <c r="CS16" s="64">
        <f t="shared" si="41"/>
        <v>0</v>
      </c>
      <c r="CT16" s="66" t="str">
        <f t="shared" ref="CT16:DD16" si="42">IF(CT15&lt;&gt;"",CT15*1000,"")</f>
        <v/>
      </c>
      <c r="CU16" s="66" t="str">
        <f t="shared" si="42"/>
        <v/>
      </c>
      <c r="CV16" s="66" t="str">
        <f t="shared" si="42"/>
        <v/>
      </c>
      <c r="CW16" s="66" t="str">
        <f t="shared" si="42"/>
        <v/>
      </c>
      <c r="CX16" s="66" t="str">
        <f t="shared" si="42"/>
        <v/>
      </c>
      <c r="CY16" s="66" t="str">
        <f t="shared" si="42"/>
        <v/>
      </c>
      <c r="CZ16" s="66" t="str">
        <f t="shared" si="42"/>
        <v/>
      </c>
      <c r="DA16" s="66" t="str">
        <f t="shared" si="42"/>
        <v/>
      </c>
      <c r="DB16" s="66" t="str">
        <f t="shared" si="42"/>
        <v/>
      </c>
      <c r="DC16" s="66" t="str">
        <f t="shared" si="42"/>
        <v/>
      </c>
      <c r="DD16" s="66" t="str">
        <f t="shared" si="42"/>
        <v/>
      </c>
      <c r="DE16" s="64">
        <f t="shared" si="43"/>
        <v>0</v>
      </c>
      <c r="DF16" s="66" t="str">
        <f t="shared" ref="DF16:DP16" si="44">IF(DF15&lt;&gt;"",DF15*1000,"")</f>
        <v/>
      </c>
      <c r="DG16" s="66" t="str">
        <f t="shared" si="44"/>
        <v/>
      </c>
      <c r="DH16" s="66" t="str">
        <f t="shared" si="44"/>
        <v/>
      </c>
      <c r="DI16" s="66" t="str">
        <f t="shared" si="44"/>
        <v/>
      </c>
      <c r="DJ16" s="66" t="str">
        <f t="shared" si="44"/>
        <v/>
      </c>
      <c r="DK16" s="66" t="str">
        <f t="shared" si="44"/>
        <v/>
      </c>
      <c r="DL16" s="66" t="str">
        <f t="shared" si="44"/>
        <v/>
      </c>
      <c r="DM16" s="66" t="str">
        <f t="shared" si="44"/>
        <v/>
      </c>
      <c r="DN16" s="66" t="str">
        <f t="shared" si="44"/>
        <v/>
      </c>
      <c r="DO16" s="66" t="str">
        <f t="shared" si="44"/>
        <v/>
      </c>
      <c r="DP16" s="66" t="str">
        <f t="shared" si="44"/>
        <v/>
      </c>
      <c r="DQ16" s="64">
        <f t="shared" si="45"/>
        <v>0</v>
      </c>
      <c r="DR16" s="66" t="str">
        <f t="shared" ref="DR16:EB16" si="46">IF(DR15&lt;&gt;"",DR15*1000,"")</f>
        <v/>
      </c>
      <c r="DS16" s="66" t="str">
        <f t="shared" si="46"/>
        <v/>
      </c>
      <c r="DT16" s="66" t="str">
        <f t="shared" si="46"/>
        <v/>
      </c>
      <c r="DU16" s="66" t="str">
        <f t="shared" si="46"/>
        <v/>
      </c>
      <c r="DV16" s="66" t="str">
        <f t="shared" si="46"/>
        <v/>
      </c>
      <c r="DW16" s="66" t="str">
        <f t="shared" si="46"/>
        <v/>
      </c>
      <c r="DX16" s="66" t="str">
        <f t="shared" si="46"/>
        <v/>
      </c>
      <c r="DY16" s="66" t="str">
        <f t="shared" si="46"/>
        <v/>
      </c>
      <c r="DZ16" s="66" t="str">
        <f t="shared" si="46"/>
        <v/>
      </c>
      <c r="EA16" s="66" t="str">
        <f t="shared" si="46"/>
        <v/>
      </c>
      <c r="EB16" s="66" t="str">
        <f t="shared" si="46"/>
        <v/>
      </c>
      <c r="EC16" s="64">
        <f t="shared" si="47"/>
        <v>0</v>
      </c>
      <c r="ED16" s="66" t="str">
        <f t="shared" ref="ED16:EN16" si="48">IF(ED15&lt;&gt;"",ED15*1000,"")</f>
        <v/>
      </c>
      <c r="EE16" s="66" t="str">
        <f t="shared" si="48"/>
        <v/>
      </c>
      <c r="EF16" s="66" t="str">
        <f t="shared" si="48"/>
        <v/>
      </c>
      <c r="EG16" s="66" t="str">
        <f t="shared" si="48"/>
        <v/>
      </c>
      <c r="EH16" s="66" t="str">
        <f t="shared" si="48"/>
        <v/>
      </c>
      <c r="EI16" s="66" t="str">
        <f t="shared" si="48"/>
        <v/>
      </c>
      <c r="EJ16" s="66" t="str">
        <f t="shared" si="48"/>
        <v/>
      </c>
      <c r="EK16" s="66" t="str">
        <f t="shared" si="48"/>
        <v/>
      </c>
      <c r="EL16" s="66" t="str">
        <f t="shared" si="48"/>
        <v/>
      </c>
      <c r="EM16" s="66" t="str">
        <f t="shared" si="48"/>
        <v/>
      </c>
      <c r="EN16" s="66" t="str">
        <f t="shared" si="48"/>
        <v/>
      </c>
      <c r="EO16" s="64">
        <f t="shared" si="49"/>
        <v>0</v>
      </c>
      <c r="EP16" s="64">
        <f t="shared" si="50"/>
        <v>353000</v>
      </c>
    </row>
    <row r="17" ht="15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</row>
    <row r="18" ht="15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</row>
    <row r="19" ht="15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</row>
  </sheetData>
  <mergeCells count="27">
    <mergeCell ref="CT2:DD2"/>
    <mergeCell ref="DF2:DP2"/>
    <mergeCell ref="DR2:EB2"/>
    <mergeCell ref="ED2:EN2"/>
    <mergeCell ref="A1:EP1"/>
    <mergeCell ref="B2:L2"/>
    <mergeCell ref="N2:X2"/>
    <mergeCell ref="Z2:AJ2"/>
    <mergeCell ref="AL2:AV2"/>
    <mergeCell ref="AX2:BH2"/>
    <mergeCell ref="BJ2:BT2"/>
    <mergeCell ref="BU3:BU4"/>
    <mergeCell ref="CG3:CG4"/>
    <mergeCell ref="CS3:CS4"/>
    <mergeCell ref="DE3:DE4"/>
    <mergeCell ref="DQ3:DQ4"/>
    <mergeCell ref="EC3:EC4"/>
    <mergeCell ref="EO3:EO4"/>
    <mergeCell ref="EP3:EP4"/>
    <mergeCell ref="BV2:CF2"/>
    <mergeCell ref="CH2:CR2"/>
    <mergeCell ref="M3:M4"/>
    <mergeCell ref="Y3:Y4"/>
    <mergeCell ref="AK3:AK4"/>
    <mergeCell ref="AW3:AW4"/>
    <mergeCell ref="BI3:BI4"/>
    <mergeCell ref="A14:EP1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5" width="12.0"/>
    <col customWidth="1" min="6" max="14" width="8.71"/>
  </cols>
  <sheetData>
    <row r="1" ht="39.75" customHeight="1">
      <c r="A1" s="67" t="s">
        <v>104</v>
      </c>
      <c r="B1" s="2"/>
      <c r="C1" s="2"/>
      <c r="D1" s="2"/>
      <c r="E1" s="2"/>
      <c r="F1" s="2"/>
      <c r="G1" s="2"/>
      <c r="H1" s="2"/>
      <c r="I1" s="2"/>
      <c r="J1" s="2"/>
      <c r="K1" s="3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5.5" customHeight="1">
      <c r="A3" s="68" t="s">
        <v>105</v>
      </c>
      <c r="B3" s="2"/>
      <c r="C3" s="39"/>
      <c r="D3" s="69" t="s">
        <v>106</v>
      </c>
      <c r="E3" s="70"/>
      <c r="F3" s="70"/>
      <c r="G3" s="71"/>
      <c r="H3" s="72" t="s">
        <v>107</v>
      </c>
      <c r="I3" s="70"/>
      <c r="J3" s="70"/>
      <c r="K3" s="71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9.75" customHeight="1">
      <c r="A4" s="73">
        <f>'📊売上入力'!EP13</f>
        <v>421200</v>
      </c>
      <c r="B4" s="2"/>
      <c r="C4" s="39"/>
      <c r="D4" s="74">
        <f>'📋損益サマリー'!E14</f>
        <v>0</v>
      </c>
      <c r="E4" s="70"/>
      <c r="F4" s="70"/>
      <c r="G4" s="71"/>
      <c r="H4" s="75">
        <f>'📋損益サマリー'!E15</f>
        <v>0</v>
      </c>
      <c r="I4" s="70"/>
      <c r="J4" s="70"/>
      <c r="K4" s="71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5.5" customHeight="1">
      <c r="A6" s="6" t="s">
        <v>108</v>
      </c>
      <c r="B6" s="2"/>
      <c r="C6" s="39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37" t="s">
        <v>109</v>
      </c>
      <c r="B7" s="37" t="s">
        <v>110</v>
      </c>
      <c r="C7" s="37" t="s">
        <v>111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76">
        <v>46143.0</v>
      </c>
      <c r="B8" s="77">
        <f>'📈月次サマリー'!E4</f>
        <v>380500</v>
      </c>
      <c r="C8" s="78">
        <f>'📋損益サマリー'!C14</f>
        <v>357601.6667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79">
        <v>46174.0</v>
      </c>
      <c r="B9" s="77">
        <f>'📈月次サマリー'!E5</f>
        <v>40700</v>
      </c>
      <c r="C9" s="78">
        <f>'📋損益サマリー'!D14</f>
        <v>35878.33333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76">
        <v>46204.0</v>
      </c>
      <c r="B10" s="77">
        <f>'📈月次サマリー'!E6</f>
        <v>0</v>
      </c>
      <c r="C10" s="78">
        <f>'📋損益サマリー'!E14</f>
        <v>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79">
        <v>46235.0</v>
      </c>
      <c r="B11" s="77">
        <f>'📈月次サマリー'!E7</f>
        <v>0</v>
      </c>
      <c r="C11" s="78">
        <f>'📋損益サマリー'!F14</f>
        <v>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76">
        <v>46266.0</v>
      </c>
      <c r="B12" s="77">
        <f>'📈月次サマリー'!E8</f>
        <v>0</v>
      </c>
      <c r="C12" s="78">
        <f>'📋損益サマリー'!G14</f>
        <v>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79">
        <v>46296.0</v>
      </c>
      <c r="B13" s="77">
        <f>'📈月次サマリー'!E9</f>
        <v>0</v>
      </c>
      <c r="C13" s="78">
        <f>'📋損益サマリー'!H14</f>
        <v>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76">
        <v>46327.0</v>
      </c>
      <c r="B14" s="77">
        <f>'📈月次サマリー'!E10</f>
        <v>0</v>
      </c>
      <c r="C14" s="78">
        <f>'📋損益サマリー'!I14</f>
        <v>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79">
        <v>46357.0</v>
      </c>
      <c r="B15" s="77">
        <f>'📈月次サマリー'!E11</f>
        <v>0</v>
      </c>
      <c r="C15" s="78">
        <f>'📋損益サマリー'!J14</f>
        <v>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76">
        <v>46388.0</v>
      </c>
      <c r="B16" s="77">
        <f>'📈月次サマリー'!E12</f>
        <v>0</v>
      </c>
      <c r="C16" s="78">
        <f>'📋損益サマリー'!K14</f>
        <v>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79">
        <v>46419.0</v>
      </c>
      <c r="B17" s="77">
        <f>'📈月次サマリー'!E13</f>
        <v>0</v>
      </c>
      <c r="C17" s="78">
        <f>'📋損益サマリー'!L14</f>
        <v>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76">
        <v>46447.0</v>
      </c>
      <c r="B18" s="77">
        <f>'📈月次サマリー'!E14</f>
        <v>0</v>
      </c>
      <c r="C18" s="78">
        <f>'📋損益サマリー'!M14</f>
        <v>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79">
        <v>46478.0</v>
      </c>
      <c r="B19" s="77">
        <f>'📈月次サマリー'!E15</f>
        <v>0</v>
      </c>
      <c r="C19" s="78">
        <f>'📋損益サマリー'!N14</f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7.75" customHeight="1">
      <c r="A22" s="6" t="s">
        <v>112</v>
      </c>
      <c r="B22" s="2"/>
      <c r="C22" s="2"/>
      <c r="D22" s="2"/>
      <c r="E22" s="39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5.5" customHeight="1">
      <c r="A23" s="47" t="s">
        <v>51</v>
      </c>
      <c r="B23" s="80" t="s">
        <v>113</v>
      </c>
      <c r="C23" s="80" t="s">
        <v>114</v>
      </c>
      <c r="D23" s="81" t="s">
        <v>115</v>
      </c>
      <c r="E23" s="37" t="s">
        <v>116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82" t="s">
        <v>117</v>
      </c>
      <c r="B24" s="83">
        <f>'🔧稼働率分析'!AL13</f>
        <v>15900</v>
      </c>
      <c r="C24" s="84">
        <f>'🔧稼働率分析'!AM13</f>
        <v>53</v>
      </c>
      <c r="D24" s="85">
        <f>'🔧稼働率分析'!AN13</f>
        <v>0.004960465618</v>
      </c>
      <c r="E24" s="86" t="str">
        <f>'🔧稼働率分析'!AO13</f>
        <v>🔴 要改善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82" t="s">
        <v>118</v>
      </c>
      <c r="B25" s="83">
        <f>'🔧稼働率分析'!AL14</f>
        <v>31700</v>
      </c>
      <c r="C25" s="84">
        <f>'🔧稼働率分析'!AM14</f>
        <v>105.6666667</v>
      </c>
      <c r="D25" s="85">
        <f>'🔧稼働率分析'!AN14</f>
        <v>0.009879447099</v>
      </c>
      <c r="E25" s="86" t="str">
        <f>'🔧稼働率分析'!AO14</f>
        <v>🔴 要改善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82" t="s">
        <v>119</v>
      </c>
      <c r="B26" s="83">
        <f>'🔧稼働率分析'!AL15</f>
        <v>44900</v>
      </c>
      <c r="C26" s="84">
        <f>'🔧稼働率分析'!AM15</f>
        <v>149.6666667</v>
      </c>
      <c r="D26" s="85">
        <f>'🔧稼働率分析'!AN15</f>
        <v>0.01400193316</v>
      </c>
      <c r="E26" s="86" t="str">
        <f>'🔧稼働率分析'!AO15</f>
        <v>🔴 要改善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82" t="s">
        <v>120</v>
      </c>
      <c r="B27" s="83">
        <f>'🔧稼働率分析'!AL16</f>
        <v>60600</v>
      </c>
      <c r="C27" s="84">
        <f>'🔧稼働率分析'!AM16</f>
        <v>202</v>
      </c>
      <c r="D27" s="85">
        <f>'🔧稼働率分析'!AN16</f>
        <v>0.01890535809</v>
      </c>
      <c r="E27" s="86" t="str">
        <f>'🔧稼働率分析'!AO16</f>
        <v>🔴 要改善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82" t="s">
        <v>121</v>
      </c>
      <c r="B28" s="83">
        <f>'🔧稼働率分析'!AL17</f>
        <v>55200</v>
      </c>
      <c r="C28" s="84">
        <f>'🔧稼働率分析'!AM17</f>
        <v>184</v>
      </c>
      <c r="D28" s="85">
        <f>'🔧稼働率分析'!AN17</f>
        <v>0.01723147318</v>
      </c>
      <c r="E28" s="86" t="str">
        <f>'🔧稼働率分析'!AO17</f>
        <v>🔴 要改善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customHeight="1">
      <c r="A29" s="87" t="s">
        <v>122</v>
      </c>
      <c r="B29" s="88">
        <f>'🔧稼働率分析'!AL18</f>
        <v>28700</v>
      </c>
      <c r="C29" s="89">
        <f>'🔧稼働率分析'!AM18</f>
        <v>95.66666667</v>
      </c>
      <c r="D29" s="90">
        <f>'🔧稼働率分析'!AN18</f>
        <v>0.007888042613</v>
      </c>
      <c r="E29" s="91" t="str">
        <f>'🔧稼働率分析'!AO18</f>
        <v>🔴 要改善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customHeight="1">
      <c r="A30" s="87" t="s">
        <v>123</v>
      </c>
      <c r="B30" s="88">
        <f>'🔧稼働率分析'!AL19</f>
        <v>12100</v>
      </c>
      <c r="C30" s="89">
        <f>'🔧稼働率分析'!AM19</f>
        <v>40.33333333</v>
      </c>
      <c r="D30" s="90">
        <f>'🔧稼働率分析'!AN19</f>
        <v>0.003328438205</v>
      </c>
      <c r="E30" s="91" t="str">
        <f>'🔧稼働率分析'!AO19</f>
        <v>🔴 要改善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75" customHeight="1">
      <c r="A31" s="92" t="s">
        <v>124</v>
      </c>
      <c r="B31" s="93">
        <f>'🔧稼働率分析'!AL20</f>
        <v>172100</v>
      </c>
      <c r="C31" s="94">
        <f>'🔧稼働率分析'!AM20</f>
        <v>149.6521739</v>
      </c>
      <c r="D31" s="95">
        <f>'🔧稼働率分析'!AN20</f>
        <v>0.02299385963</v>
      </c>
      <c r="E31" s="96" t="str">
        <f>'🔧稼働率分析'!AO20</f>
        <v>🔴 要改善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5.5" customHeight="1">
      <c r="A32" s="97" t="s">
        <v>125</v>
      </c>
      <c r="B32" s="98">
        <f>'🔧稼働率分析'!AJ21</f>
        <v>0</v>
      </c>
      <c r="C32" s="99">
        <f>'🔧稼働率分析'!G20</f>
        <v>0.03185587762</v>
      </c>
      <c r="D32" s="100">
        <f>'🔧稼働率分析'!J20</f>
        <v>0</v>
      </c>
      <c r="E32" s="101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9">
    <mergeCell ref="A6:C6"/>
    <mergeCell ref="A22:E22"/>
    <mergeCell ref="A1:K1"/>
    <mergeCell ref="A3:C3"/>
    <mergeCell ref="D3:G3"/>
    <mergeCell ref="H3:K3"/>
    <mergeCell ref="A4:C4"/>
    <mergeCell ref="D4:G4"/>
    <mergeCell ref="H4:K4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29"/>
    <col customWidth="1" min="2" max="6" width="16.0"/>
    <col customWidth="1" min="7" max="8" width="14.0"/>
  </cols>
  <sheetData>
    <row r="1" ht="42.0" customHeight="1">
      <c r="A1" s="67" t="s">
        <v>126</v>
      </c>
      <c r="B1" s="2"/>
      <c r="C1" s="2"/>
      <c r="D1" s="2"/>
      <c r="E1" s="2"/>
      <c r="F1" s="2"/>
      <c r="G1" s="2"/>
      <c r="H1" s="39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102" t="s">
        <v>109</v>
      </c>
      <c r="B3" s="102" t="s">
        <v>127</v>
      </c>
      <c r="C3" s="102" t="s">
        <v>128</v>
      </c>
      <c r="D3" s="102" t="s">
        <v>129</v>
      </c>
      <c r="E3" s="102" t="s">
        <v>130</v>
      </c>
      <c r="F3" s="102" t="s">
        <v>131</v>
      </c>
      <c r="G3" s="102" t="s">
        <v>132</v>
      </c>
      <c r="H3" s="102" t="s">
        <v>133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5.5" customHeight="1">
      <c r="A4" s="103">
        <v>46143.0</v>
      </c>
      <c r="B4" s="77">
        <f>'📊売上入力'!M5+'📊売上入力'!M6+'📊売上入力'!M7+'📊売上入力'!M8+'📊売上入力'!M9</f>
        <v>191900</v>
      </c>
      <c r="C4" s="104">
        <f>'📊売上入力'!M10+'📊売上入力'!M11</f>
        <v>35800</v>
      </c>
      <c r="D4" s="78">
        <f>'📊売上入力'!M12</f>
        <v>152800</v>
      </c>
      <c r="E4" s="105">
        <f>'📊売上入力'!M13</f>
        <v>380500</v>
      </c>
      <c r="F4" s="106">
        <f>'📊売上入力'!M16</f>
        <v>313000</v>
      </c>
      <c r="G4" s="107" t="s">
        <v>134</v>
      </c>
      <c r="H4" s="108">
        <f>'🔧稼働率分析'!D21</f>
        <v>0.1347706775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5.5" customHeight="1">
      <c r="A5" s="109">
        <v>46174.0</v>
      </c>
      <c r="B5" s="77">
        <f>'📊売上入力'!Y5+'📊売上入力'!Y6+'📊売上入力'!Y7+'📊売上入力'!Y8+'📊売上入力'!Y9</f>
        <v>16400</v>
      </c>
      <c r="C5" s="104">
        <f>'📊売上入力'!Y10+'📊売上入力'!Y11</f>
        <v>5000</v>
      </c>
      <c r="D5" s="78">
        <f>'📊売上入力'!Y12</f>
        <v>19300</v>
      </c>
      <c r="E5" s="105">
        <f>'📊売上入力'!Y13</f>
        <v>40700</v>
      </c>
      <c r="F5" s="106">
        <f>'📊売上入力'!Y16</f>
        <v>40000</v>
      </c>
      <c r="G5" s="110">
        <f t="shared" ref="G5:G15" si="1">IFERROR(E5/E4-1,"—")</f>
        <v>-0.8930354796</v>
      </c>
      <c r="H5" s="108">
        <f>'🔧稼働率分析'!G21</f>
        <v>0.0140128489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5.5" customHeight="1">
      <c r="A6" s="103">
        <v>46204.0</v>
      </c>
      <c r="B6" s="77">
        <f>'📊売上入力'!AK5+'📊売上入力'!AK6+'📊売上入力'!AK7+'📊売上入力'!AK8+'📊売上入力'!AK9</f>
        <v>0</v>
      </c>
      <c r="C6" s="104">
        <f>'📊売上入力'!AK10+'📊売上入力'!AK11</f>
        <v>0</v>
      </c>
      <c r="D6" s="78">
        <f>'📊売上入力'!AK12</f>
        <v>0</v>
      </c>
      <c r="E6" s="105">
        <f>'📊売上入力'!AK13</f>
        <v>0</v>
      </c>
      <c r="F6" s="106">
        <f>'📊売上入力'!AK16</f>
        <v>0</v>
      </c>
      <c r="G6" s="110">
        <f t="shared" si="1"/>
        <v>-1</v>
      </c>
      <c r="H6" s="108">
        <f>'🔧稼働率分析'!J21</f>
        <v>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5.5" customHeight="1">
      <c r="A7" s="109">
        <v>46235.0</v>
      </c>
      <c r="B7" s="77">
        <f>'📊売上入力'!AW5+'📊売上入力'!AW6+'📊売上入力'!AW7+'📊売上入力'!AW8+'📊売上入力'!AW9</f>
        <v>0</v>
      </c>
      <c r="C7" s="104">
        <f>'📊売上入力'!AW10+'📊売上入力'!AW11</f>
        <v>0</v>
      </c>
      <c r="D7" s="78">
        <f>'📊売上入力'!AW12</f>
        <v>0</v>
      </c>
      <c r="E7" s="105">
        <f>'📊売上入力'!AW13</f>
        <v>0</v>
      </c>
      <c r="F7" s="106">
        <f>'📊売上入力'!AW16</f>
        <v>0</v>
      </c>
      <c r="G7" s="110" t="str">
        <f t="shared" si="1"/>
        <v>—</v>
      </c>
      <c r="H7" s="108">
        <f>'🔧稼働率分析'!M21</f>
        <v>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5.5" customHeight="1">
      <c r="A8" s="103">
        <v>46266.0</v>
      </c>
      <c r="B8" s="77">
        <f>'📊売上入力'!BI5+'📊売上入力'!BI6+'📊売上入力'!BI7+'📊売上入力'!BI8+'📊売上入力'!BI9</f>
        <v>0</v>
      </c>
      <c r="C8" s="104">
        <f>'📊売上入力'!BI10+'📊売上入力'!BI11</f>
        <v>0</v>
      </c>
      <c r="D8" s="78">
        <f>'📊売上入力'!BI12</f>
        <v>0</v>
      </c>
      <c r="E8" s="105">
        <f>'📊売上入力'!BI13</f>
        <v>0</v>
      </c>
      <c r="F8" s="106">
        <f>'📊売上入力'!BI16</f>
        <v>0</v>
      </c>
      <c r="G8" s="110" t="str">
        <f t="shared" si="1"/>
        <v>—</v>
      </c>
      <c r="H8" s="108">
        <f>'🔧稼働率分析'!P21</f>
        <v>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5.5" customHeight="1">
      <c r="A9" s="109">
        <v>46296.0</v>
      </c>
      <c r="B9" s="77">
        <f>'📊売上入力'!BU5+'📊売上入力'!BU6+'📊売上入力'!BU7+'📊売上入力'!BU8+'📊売上入力'!BU9</f>
        <v>0</v>
      </c>
      <c r="C9" s="104">
        <f>'📊売上入力'!BU10+'📊売上入力'!BU11</f>
        <v>0</v>
      </c>
      <c r="D9" s="78">
        <f>'📊売上入力'!BU12</f>
        <v>0</v>
      </c>
      <c r="E9" s="105">
        <f>'📊売上入力'!BU13</f>
        <v>0</v>
      </c>
      <c r="F9" s="106">
        <f>'📊売上入力'!BU16</f>
        <v>0</v>
      </c>
      <c r="G9" s="110" t="str">
        <f t="shared" si="1"/>
        <v>—</v>
      </c>
      <c r="H9" s="108">
        <f>'🔧稼働率分析'!S21</f>
        <v>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103">
        <v>46327.0</v>
      </c>
      <c r="B10" s="77">
        <f>'📊売上入力'!CG5+'📊売上入力'!CG6+'📊売上入力'!CG7+'📊売上入力'!CG8+'📊売上入力'!CG9</f>
        <v>0</v>
      </c>
      <c r="C10" s="104">
        <f>'📊売上入力'!CG10+'📊売上入力'!CG11</f>
        <v>0</v>
      </c>
      <c r="D10" s="78">
        <f>'📊売上入力'!CG12</f>
        <v>0</v>
      </c>
      <c r="E10" s="105">
        <f>'📊売上入力'!CG13</f>
        <v>0</v>
      </c>
      <c r="F10" s="106">
        <f>'📊売上入力'!CG16</f>
        <v>0</v>
      </c>
      <c r="G10" s="110" t="str">
        <f t="shared" si="1"/>
        <v>—</v>
      </c>
      <c r="H10" s="108">
        <f>'🔧稼働率分析'!V21</f>
        <v>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5.5" customHeight="1">
      <c r="A11" s="109">
        <v>46357.0</v>
      </c>
      <c r="B11" s="77">
        <f>'📊売上入力'!CS5+'📊売上入力'!CS6+'📊売上入力'!CS7+'📊売上入力'!CS8+'📊売上入力'!CS9</f>
        <v>0</v>
      </c>
      <c r="C11" s="104">
        <f>'📊売上入力'!CS10+'📊売上入力'!CS11</f>
        <v>0</v>
      </c>
      <c r="D11" s="78">
        <f>'📊売上入力'!CS12</f>
        <v>0</v>
      </c>
      <c r="E11" s="105">
        <f>'📊売上入力'!CS13</f>
        <v>0</v>
      </c>
      <c r="F11" s="106">
        <f>'📊売上入力'!CS16</f>
        <v>0</v>
      </c>
      <c r="G11" s="110" t="str">
        <f t="shared" si="1"/>
        <v>—</v>
      </c>
      <c r="H11" s="108">
        <f>'🔧稼働率分析'!Y21</f>
        <v>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5.5" customHeight="1">
      <c r="A12" s="103">
        <v>46388.0</v>
      </c>
      <c r="B12" s="77">
        <f>'📊売上入力'!DE5+'📊売上入力'!DE6+'📊売上入力'!DE7+'📊売上入力'!DE8+'📊売上入力'!DE9</f>
        <v>0</v>
      </c>
      <c r="C12" s="104">
        <f>'📊売上入力'!DE10+'📊売上入力'!DE11</f>
        <v>0</v>
      </c>
      <c r="D12" s="78">
        <f>'📊売上入力'!DE12</f>
        <v>0</v>
      </c>
      <c r="E12" s="105">
        <f>'📊売上入力'!DE13</f>
        <v>0</v>
      </c>
      <c r="F12" s="106">
        <f>'📊売上入力'!DE16</f>
        <v>0</v>
      </c>
      <c r="G12" s="110" t="str">
        <f t="shared" si="1"/>
        <v>—</v>
      </c>
      <c r="H12" s="108">
        <f>'🔧稼働率分析'!AB21</f>
        <v>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5.5" customHeight="1">
      <c r="A13" s="109">
        <v>46419.0</v>
      </c>
      <c r="B13" s="77">
        <f>'📊売上入力'!DQ5+'📊売上入力'!DQ6+'📊売上入力'!DQ7+'📊売上入力'!DQ8+'📊売上入力'!DQ9</f>
        <v>0</v>
      </c>
      <c r="C13" s="104">
        <f>'📊売上入力'!DQ10+'📊売上入力'!DQ11</f>
        <v>0</v>
      </c>
      <c r="D13" s="78">
        <f>'📊売上入力'!DQ12</f>
        <v>0</v>
      </c>
      <c r="E13" s="105">
        <f>'📊売上入力'!DQ13</f>
        <v>0</v>
      </c>
      <c r="F13" s="106">
        <f>'📊売上入力'!DQ16</f>
        <v>0</v>
      </c>
      <c r="G13" s="110" t="str">
        <f t="shared" si="1"/>
        <v>—</v>
      </c>
      <c r="H13" s="108">
        <f>'🔧稼働率分析'!AE21</f>
        <v>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5.5" customHeight="1">
      <c r="A14" s="103">
        <v>46447.0</v>
      </c>
      <c r="B14" s="77">
        <f>'📊売上入力'!EC5+'📊売上入力'!EC6+'📊売上入力'!EC7+'📊売上入力'!EC8+'📊売上入力'!EC9</f>
        <v>0</v>
      </c>
      <c r="C14" s="104">
        <f>'📊売上入力'!EC10+'📊売上入力'!EC11</f>
        <v>0</v>
      </c>
      <c r="D14" s="78">
        <f>'📊売上入力'!EC12</f>
        <v>0</v>
      </c>
      <c r="E14" s="105">
        <f>'📊売上入力'!EC13</f>
        <v>0</v>
      </c>
      <c r="F14" s="106">
        <f>'📊売上入力'!EC16</f>
        <v>0</v>
      </c>
      <c r="G14" s="110" t="str">
        <f t="shared" si="1"/>
        <v>—</v>
      </c>
      <c r="H14" s="108">
        <f>'🔧稼働率分析'!AH21</f>
        <v>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5.5" customHeight="1">
      <c r="A15" s="109">
        <v>46478.0</v>
      </c>
      <c r="B15" s="77">
        <f>'📊売上入力'!EO5+'📊売上入力'!EO6+'📊売上入力'!EO7+'📊売上入力'!EO8+'📊売上入力'!EO9</f>
        <v>0</v>
      </c>
      <c r="C15" s="104">
        <f>'📊売上入力'!EO10+'📊売上入力'!EO11</f>
        <v>0</v>
      </c>
      <c r="D15" s="78">
        <f>'📊売上入力'!EO12</f>
        <v>0</v>
      </c>
      <c r="E15" s="105">
        <f>'📊売上入力'!EO13</f>
        <v>0</v>
      </c>
      <c r="F15" s="106">
        <f>'📊売上入力'!EO16</f>
        <v>0</v>
      </c>
      <c r="G15" s="110" t="str">
        <f t="shared" si="1"/>
        <v>—</v>
      </c>
      <c r="H15" s="108">
        <f>'🔧稼働率分析'!AK21</f>
        <v>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0.0" customHeight="1">
      <c r="A16" s="97" t="s">
        <v>135</v>
      </c>
      <c r="B16" s="58">
        <f t="shared" ref="B16:F16" si="2">SUM(B4:B15)</f>
        <v>208300</v>
      </c>
      <c r="C16" s="58">
        <f t="shared" si="2"/>
        <v>40800</v>
      </c>
      <c r="D16" s="58">
        <f t="shared" si="2"/>
        <v>172100</v>
      </c>
      <c r="E16" s="58">
        <f t="shared" si="2"/>
        <v>421200</v>
      </c>
      <c r="F16" s="58">
        <f t="shared" si="2"/>
        <v>353000</v>
      </c>
      <c r="G16" s="58"/>
      <c r="H16" s="98">
        <f>'🔧稼働率分析'!AJ21</f>
        <v>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43"/>
    <col customWidth="1" min="2" max="37" width="10.86"/>
    <col customWidth="1" min="38" max="38" width="12.29"/>
    <col customWidth="1" min="39" max="39" width="10.0"/>
  </cols>
  <sheetData>
    <row r="1" ht="42.0" customHeight="1">
      <c r="A1" s="111" t="s">
        <v>136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9"/>
      <c r="AP1" s="112"/>
      <c r="AQ1" s="112"/>
      <c r="AR1" s="112"/>
      <c r="AS1" s="112"/>
      <c r="AT1" s="112"/>
      <c r="AU1" s="112"/>
      <c r="AV1" s="112"/>
      <c r="AW1" s="112"/>
    </row>
    <row r="2" ht="19.5" customHeight="1">
      <c r="A2" s="113" t="s">
        <v>137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39"/>
      <c r="AP2" s="112"/>
      <c r="AQ2" s="112"/>
      <c r="AR2" s="112"/>
      <c r="AS2" s="112"/>
      <c r="AT2" s="112"/>
      <c r="AU2" s="112"/>
      <c r="AV2" s="112"/>
      <c r="AW2" s="112"/>
    </row>
    <row r="3" ht="15.0" customHeight="1">
      <c r="A3" s="112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2"/>
      <c r="AV3" s="112"/>
      <c r="AW3" s="112"/>
    </row>
    <row r="4" ht="25.5" customHeight="1">
      <c r="A4" s="114" t="s">
        <v>138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39"/>
      <c r="AP4" s="112"/>
      <c r="AQ4" s="112"/>
      <c r="AR4" s="112"/>
      <c r="AS4" s="112"/>
      <c r="AT4" s="112"/>
      <c r="AU4" s="112"/>
      <c r="AV4" s="112"/>
      <c r="AW4" s="112"/>
    </row>
    <row r="5" ht="24.0" customHeight="1">
      <c r="A5" s="115" t="s">
        <v>139</v>
      </c>
      <c r="B5" s="116" t="s">
        <v>140</v>
      </c>
      <c r="C5" s="39"/>
      <c r="D5" s="117" t="s">
        <v>141</v>
      </c>
      <c r="E5" s="39"/>
      <c r="F5" s="116" t="s">
        <v>142</v>
      </c>
      <c r="G5" s="39"/>
      <c r="H5" s="117" t="s">
        <v>143</v>
      </c>
      <c r="I5" s="39"/>
      <c r="J5" s="117" t="s">
        <v>144</v>
      </c>
      <c r="K5" s="39"/>
      <c r="L5" s="118" t="s">
        <v>145</v>
      </c>
      <c r="M5" s="39"/>
      <c r="N5" s="118" t="s">
        <v>146</v>
      </c>
      <c r="O5" s="39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</row>
    <row r="6" ht="24.0" customHeight="1">
      <c r="A6" s="119" t="s">
        <v>147</v>
      </c>
      <c r="B6" s="120">
        <v>300.0</v>
      </c>
      <c r="C6" s="39"/>
      <c r="D6" s="121">
        <v>30.0</v>
      </c>
      <c r="E6" s="39"/>
      <c r="F6" s="122">
        <v>20.0</v>
      </c>
      <c r="G6" s="39"/>
      <c r="H6" s="123">
        <f t="shared" ref="H6:H8" si="1">D6+F6</f>
        <v>50</v>
      </c>
      <c r="I6" s="39"/>
      <c r="J6" s="124">
        <f t="shared" ref="J6:J8" si="2">1440/H6</f>
        <v>28.8</v>
      </c>
      <c r="K6" s="39"/>
      <c r="L6" s="125" t="s">
        <v>148</v>
      </c>
      <c r="M6" s="39"/>
      <c r="N6" s="126"/>
      <c r="O6" s="39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</row>
    <row r="7" ht="24.0" customHeight="1">
      <c r="A7" s="127" t="s">
        <v>149</v>
      </c>
      <c r="B7" s="128">
        <v>300.0</v>
      </c>
      <c r="C7" s="39"/>
      <c r="D7" s="122">
        <v>24.0</v>
      </c>
      <c r="E7" s="39"/>
      <c r="F7" s="122">
        <v>20.0</v>
      </c>
      <c r="G7" s="39"/>
      <c r="H7" s="129">
        <f t="shared" si="1"/>
        <v>44</v>
      </c>
      <c r="I7" s="39"/>
      <c r="J7" s="130">
        <f t="shared" si="2"/>
        <v>32.72727273</v>
      </c>
      <c r="K7" s="39"/>
      <c r="L7" s="131" t="s">
        <v>150</v>
      </c>
      <c r="M7" s="39"/>
      <c r="N7" s="126"/>
      <c r="O7" s="39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2"/>
      <c r="AT7" s="112"/>
      <c r="AU7" s="112"/>
      <c r="AV7" s="112"/>
      <c r="AW7" s="112"/>
    </row>
    <row r="8" ht="24.0" customHeight="1">
      <c r="A8" s="132" t="s">
        <v>151</v>
      </c>
      <c r="B8" s="128">
        <v>1150.0</v>
      </c>
      <c r="C8" s="39"/>
      <c r="D8" s="122">
        <v>62.0</v>
      </c>
      <c r="E8" s="39"/>
      <c r="F8" s="122">
        <v>20.0</v>
      </c>
      <c r="G8" s="39"/>
      <c r="H8" s="133">
        <f t="shared" si="1"/>
        <v>82</v>
      </c>
      <c r="I8" s="39"/>
      <c r="J8" s="134">
        <f t="shared" si="2"/>
        <v>17.56097561</v>
      </c>
      <c r="K8" s="39"/>
      <c r="L8" s="135" t="s">
        <v>152</v>
      </c>
      <c r="M8" s="39"/>
      <c r="N8" s="126"/>
      <c r="O8" s="39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</row>
    <row r="9" ht="18.0" customHeight="1">
      <c r="A9" s="136" t="s">
        <v>153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39"/>
      <c r="AP9" s="112"/>
      <c r="AQ9" s="112"/>
      <c r="AR9" s="112"/>
      <c r="AS9" s="112"/>
      <c r="AT9" s="112"/>
      <c r="AU9" s="112"/>
      <c r="AV9" s="112"/>
      <c r="AW9" s="112"/>
    </row>
    <row r="10" ht="21.75" customHeight="1">
      <c r="A10" s="137" t="s">
        <v>154</v>
      </c>
      <c r="B10" s="138">
        <v>31.0</v>
      </c>
      <c r="C10" s="2"/>
      <c r="D10" s="39"/>
      <c r="E10" s="138">
        <v>30.0</v>
      </c>
      <c r="F10" s="2"/>
      <c r="G10" s="39"/>
      <c r="H10" s="138">
        <v>31.0</v>
      </c>
      <c r="I10" s="2"/>
      <c r="J10" s="39"/>
      <c r="K10" s="138">
        <v>31.0</v>
      </c>
      <c r="L10" s="2"/>
      <c r="M10" s="39"/>
      <c r="N10" s="138">
        <v>30.0</v>
      </c>
      <c r="O10" s="2"/>
      <c r="P10" s="39"/>
      <c r="Q10" s="138">
        <v>31.0</v>
      </c>
      <c r="R10" s="2"/>
      <c r="S10" s="39"/>
      <c r="T10" s="138">
        <v>30.0</v>
      </c>
      <c r="U10" s="2"/>
      <c r="V10" s="39"/>
      <c r="W10" s="138">
        <v>31.0</v>
      </c>
      <c r="X10" s="2"/>
      <c r="Y10" s="39"/>
      <c r="Z10" s="138">
        <v>31.0</v>
      </c>
      <c r="AA10" s="2"/>
      <c r="AB10" s="39"/>
      <c r="AC10" s="138">
        <v>28.0</v>
      </c>
      <c r="AD10" s="2"/>
      <c r="AE10" s="39"/>
      <c r="AF10" s="138">
        <v>31.0</v>
      </c>
      <c r="AG10" s="2"/>
      <c r="AH10" s="39"/>
      <c r="AI10" s="138">
        <v>30.0</v>
      </c>
      <c r="AJ10" s="2"/>
      <c r="AK10" s="39"/>
      <c r="AL10" s="139"/>
      <c r="AM10" s="139"/>
      <c r="AN10" s="139"/>
      <c r="AO10" s="139"/>
      <c r="AP10" s="112"/>
      <c r="AQ10" s="112"/>
      <c r="AR10" s="112"/>
      <c r="AS10" s="112"/>
      <c r="AT10" s="112"/>
      <c r="AU10" s="112"/>
      <c r="AV10" s="112"/>
      <c r="AW10" s="112"/>
    </row>
    <row r="11" ht="27.75" customHeight="1">
      <c r="A11" s="140" t="s">
        <v>51</v>
      </c>
      <c r="B11" s="141" t="s">
        <v>155</v>
      </c>
      <c r="C11" s="2"/>
      <c r="D11" s="39"/>
      <c r="E11" s="142" t="s">
        <v>156</v>
      </c>
      <c r="F11" s="2"/>
      <c r="G11" s="39"/>
      <c r="H11" s="141" t="s">
        <v>157</v>
      </c>
      <c r="I11" s="2"/>
      <c r="J11" s="39"/>
      <c r="K11" s="142" t="s">
        <v>158</v>
      </c>
      <c r="L11" s="2"/>
      <c r="M11" s="39"/>
      <c r="N11" s="141" t="s">
        <v>159</v>
      </c>
      <c r="O11" s="2"/>
      <c r="P11" s="39"/>
      <c r="Q11" s="142" t="s">
        <v>160</v>
      </c>
      <c r="R11" s="2"/>
      <c r="S11" s="39"/>
      <c r="T11" s="141" t="s">
        <v>161</v>
      </c>
      <c r="U11" s="2"/>
      <c r="V11" s="39"/>
      <c r="W11" s="142" t="s">
        <v>162</v>
      </c>
      <c r="X11" s="2"/>
      <c r="Y11" s="39"/>
      <c r="Z11" s="141" t="s">
        <v>163</v>
      </c>
      <c r="AA11" s="2"/>
      <c r="AB11" s="39"/>
      <c r="AC11" s="142" t="s">
        <v>164</v>
      </c>
      <c r="AD11" s="2"/>
      <c r="AE11" s="39"/>
      <c r="AF11" s="141" t="s">
        <v>165</v>
      </c>
      <c r="AG11" s="2"/>
      <c r="AH11" s="39"/>
      <c r="AI11" s="142" t="s">
        <v>166</v>
      </c>
      <c r="AJ11" s="2"/>
      <c r="AK11" s="39"/>
      <c r="AL11" s="143" t="s">
        <v>113</v>
      </c>
      <c r="AM11" s="143" t="s">
        <v>114</v>
      </c>
      <c r="AN11" s="143" t="s">
        <v>167</v>
      </c>
      <c r="AO11" s="144" t="s">
        <v>116</v>
      </c>
      <c r="AP11" s="112"/>
      <c r="AQ11" s="112"/>
      <c r="AR11" s="112"/>
      <c r="AS11" s="112"/>
      <c r="AT11" s="112"/>
      <c r="AU11" s="112"/>
      <c r="AV11" s="112"/>
      <c r="AW11" s="112"/>
    </row>
    <row r="12" ht="27.75" customHeight="1">
      <c r="A12" s="51"/>
      <c r="B12" s="145" t="s">
        <v>110</v>
      </c>
      <c r="C12" s="146" t="s">
        <v>168</v>
      </c>
      <c r="D12" s="147" t="s">
        <v>169</v>
      </c>
      <c r="E12" s="148" t="s">
        <v>110</v>
      </c>
      <c r="F12" s="149" t="s">
        <v>168</v>
      </c>
      <c r="G12" s="150" t="s">
        <v>169</v>
      </c>
      <c r="H12" s="145" t="s">
        <v>110</v>
      </c>
      <c r="I12" s="146" t="s">
        <v>168</v>
      </c>
      <c r="J12" s="147" t="s">
        <v>169</v>
      </c>
      <c r="K12" s="37" t="s">
        <v>110</v>
      </c>
      <c r="L12" s="37" t="s">
        <v>168</v>
      </c>
      <c r="M12" s="37" t="s">
        <v>169</v>
      </c>
      <c r="N12" s="115" t="s">
        <v>110</v>
      </c>
      <c r="O12" s="115" t="s">
        <v>168</v>
      </c>
      <c r="P12" s="115" t="s">
        <v>169</v>
      </c>
      <c r="Q12" s="37" t="s">
        <v>110</v>
      </c>
      <c r="R12" s="37" t="s">
        <v>168</v>
      </c>
      <c r="S12" s="37" t="s">
        <v>169</v>
      </c>
      <c r="T12" s="115" t="s">
        <v>110</v>
      </c>
      <c r="U12" s="115" t="s">
        <v>168</v>
      </c>
      <c r="V12" s="115" t="s">
        <v>169</v>
      </c>
      <c r="W12" s="37" t="s">
        <v>110</v>
      </c>
      <c r="X12" s="37" t="s">
        <v>168</v>
      </c>
      <c r="Y12" s="37" t="s">
        <v>169</v>
      </c>
      <c r="Z12" s="115" t="s">
        <v>110</v>
      </c>
      <c r="AA12" s="115" t="s">
        <v>168</v>
      </c>
      <c r="AB12" s="115" t="s">
        <v>169</v>
      </c>
      <c r="AC12" s="37" t="s">
        <v>110</v>
      </c>
      <c r="AD12" s="37" t="s">
        <v>168</v>
      </c>
      <c r="AE12" s="37" t="s">
        <v>169</v>
      </c>
      <c r="AF12" s="115" t="s">
        <v>110</v>
      </c>
      <c r="AG12" s="115" t="s">
        <v>168</v>
      </c>
      <c r="AH12" s="115" t="s">
        <v>169</v>
      </c>
      <c r="AI12" s="37" t="s">
        <v>110</v>
      </c>
      <c r="AJ12" s="37" t="s">
        <v>168</v>
      </c>
      <c r="AK12" s="37" t="s">
        <v>169</v>
      </c>
      <c r="AL12" s="151"/>
      <c r="AM12" s="151"/>
      <c r="AN12" s="151"/>
      <c r="AO12" s="152"/>
      <c r="AP12" s="112"/>
      <c r="AQ12" s="112"/>
      <c r="AR12" s="112"/>
      <c r="AS12" s="112"/>
      <c r="AT12" s="112"/>
      <c r="AU12" s="112"/>
      <c r="AV12" s="112"/>
      <c r="AW12" s="112"/>
    </row>
    <row r="13" ht="24.0" customHeight="1">
      <c r="A13" s="153" t="s">
        <v>117</v>
      </c>
      <c r="B13" s="77">
        <f>'📊売上入力'!M5</f>
        <v>14600</v>
      </c>
      <c r="C13" s="154">
        <f>IFERROR(B13/B6,0)</f>
        <v>48.66666667</v>
      </c>
      <c r="D13" s="155">
        <f>IFERROR(C13/(J6*B10),0)</f>
        <v>0.05451015532</v>
      </c>
      <c r="E13" s="77">
        <f>'📊売上入力'!Y5</f>
        <v>1300</v>
      </c>
      <c r="F13" s="154">
        <f>IFERROR(E13/B6,0)</f>
        <v>4.333333333</v>
      </c>
      <c r="G13" s="155">
        <f>IFERROR(F13/(J6*E10),0)</f>
        <v>0.005015432099</v>
      </c>
      <c r="H13" s="77">
        <f>'📊売上入力'!AK5</f>
        <v>0</v>
      </c>
      <c r="I13" s="154">
        <f>IFERROR(H13/B6,0)</f>
        <v>0</v>
      </c>
      <c r="J13" s="155">
        <f>IFERROR(I13/(J6*H10),0)</f>
        <v>0</v>
      </c>
      <c r="K13" s="77">
        <f>'📊売上入力'!AW5</f>
        <v>0</v>
      </c>
      <c r="L13" s="154">
        <f>IFERROR(K13/B6,0)</f>
        <v>0</v>
      </c>
      <c r="M13" s="155">
        <f>IFERROR(L13/(J6*K10),0)</f>
        <v>0</v>
      </c>
      <c r="N13" s="77">
        <f>'📊売上入力'!BI5</f>
        <v>0</v>
      </c>
      <c r="O13" s="154">
        <f>IFERROR(N13/B6,0)</f>
        <v>0</v>
      </c>
      <c r="P13" s="155">
        <f>IFERROR(O13/(J6*N10),0)</f>
        <v>0</v>
      </c>
      <c r="Q13" s="77">
        <f>'📊売上入力'!BU5</f>
        <v>0</v>
      </c>
      <c r="R13" s="154">
        <f>IFERROR(Q13/B6,0)</f>
        <v>0</v>
      </c>
      <c r="S13" s="155">
        <f>IFERROR(R13/(J6*Q10),0)</f>
        <v>0</v>
      </c>
      <c r="T13" s="77">
        <f>'📊売上入力'!CG5</f>
        <v>0</v>
      </c>
      <c r="U13" s="154">
        <f>IFERROR(T13/B6,0)</f>
        <v>0</v>
      </c>
      <c r="V13" s="155">
        <f>IFERROR(U13/(J6*T10),0)</f>
        <v>0</v>
      </c>
      <c r="W13" s="77">
        <f>'📊売上入力'!CS5</f>
        <v>0</v>
      </c>
      <c r="X13" s="154">
        <f>IFERROR(W13/B6,0)</f>
        <v>0</v>
      </c>
      <c r="Y13" s="155">
        <f>IFERROR(X13/(J6*W10),0)</f>
        <v>0</v>
      </c>
      <c r="Z13" s="77">
        <f>'📊売上入力'!DE5</f>
        <v>0</v>
      </c>
      <c r="AA13" s="154">
        <f>IFERROR(Z13/B6,0)</f>
        <v>0</v>
      </c>
      <c r="AB13" s="155">
        <f>IFERROR(AA13/(J6*Z10),0)</f>
        <v>0</v>
      </c>
      <c r="AC13" s="77">
        <f>'📊売上入力'!DQ5</f>
        <v>0</v>
      </c>
      <c r="AD13" s="154">
        <f>IFERROR(AC13/B6,0)</f>
        <v>0</v>
      </c>
      <c r="AE13" s="155">
        <f>IFERROR(AD13/(J6*AC10),0)</f>
        <v>0</v>
      </c>
      <c r="AF13" s="77">
        <f>'📊売上入力'!EC5</f>
        <v>0</v>
      </c>
      <c r="AG13" s="154">
        <f>IFERROR(AF13/B6,0)</f>
        <v>0</v>
      </c>
      <c r="AH13" s="155">
        <f>IFERROR(AG13/(J6*AF10),0)</f>
        <v>0</v>
      </c>
      <c r="AI13" s="77">
        <f>'📊売上入力'!EO5</f>
        <v>0</v>
      </c>
      <c r="AJ13" s="154">
        <f>IFERROR(AI13/B6,0)</f>
        <v>0</v>
      </c>
      <c r="AK13" s="155">
        <f>IFERROR(AJ13/(J6*AI10),0)</f>
        <v>0</v>
      </c>
      <c r="AL13" s="59">
        <f t="shared" ref="AL13:AM13" si="3">B13+E13+H13+K13+N13+Q13+T13+W13+Z13+AC13+AF13+AI13</f>
        <v>15900</v>
      </c>
      <c r="AM13" s="156">
        <f t="shared" si="3"/>
        <v>53</v>
      </c>
      <c r="AN13" s="157">
        <f t="shared" ref="AN13:AN20" si="5">IFERROR(AVERAGE(D13,G13,J13,M13,P13,S13,V13,Y13,AB13,AE13,AH13,AK13),0)</f>
        <v>0.004960465618</v>
      </c>
      <c r="AO13" s="158" t="str">
        <f t="shared" ref="AO13:AO20" si="6">IF(AH13&gt;=0.7,"🟢 良好",IF(AH13&gt;=0.4,"🟡 普通","🔴 要改善"))</f>
        <v>🔴 要改善</v>
      </c>
      <c r="AP13" s="112"/>
      <c r="AQ13" s="112"/>
      <c r="AR13" s="112"/>
      <c r="AS13" s="112"/>
      <c r="AT13" s="112"/>
      <c r="AU13" s="112"/>
      <c r="AV13" s="112"/>
      <c r="AW13" s="112"/>
    </row>
    <row r="14" ht="24.0" customHeight="1">
      <c r="A14" s="153" t="s">
        <v>118</v>
      </c>
      <c r="B14" s="77">
        <f>'📊売上入力'!M6</f>
        <v>30100</v>
      </c>
      <c r="C14" s="154">
        <f>IFERROR(B14/B6,0)</f>
        <v>100.3333333</v>
      </c>
      <c r="D14" s="155">
        <f>IFERROR(C14/(J6*B10),0)</f>
        <v>0.1123805257</v>
      </c>
      <c r="E14" s="77">
        <f>'📊売上入力'!Y6</f>
        <v>1600</v>
      </c>
      <c r="F14" s="154">
        <f>IFERROR(E14/B6,0)</f>
        <v>5.333333333</v>
      </c>
      <c r="G14" s="155">
        <f>IFERROR(F14/(J6*E10),0)</f>
        <v>0.006172839506</v>
      </c>
      <c r="H14" s="77">
        <f>'📊売上入力'!AK6</f>
        <v>0</v>
      </c>
      <c r="I14" s="154">
        <f>IFERROR(H14/B6,0)</f>
        <v>0</v>
      </c>
      <c r="J14" s="155">
        <f>IFERROR(I14/(J6*H10),0)</f>
        <v>0</v>
      </c>
      <c r="K14" s="77">
        <f>'📊売上入力'!AW6</f>
        <v>0</v>
      </c>
      <c r="L14" s="154">
        <f>IFERROR(K14/B6,0)</f>
        <v>0</v>
      </c>
      <c r="M14" s="155">
        <f>IFERROR(L14/(J6*K10),0)</f>
        <v>0</v>
      </c>
      <c r="N14" s="77">
        <f>'📊売上入力'!BI6</f>
        <v>0</v>
      </c>
      <c r="O14" s="154">
        <f>IFERROR(N14/B6,0)</f>
        <v>0</v>
      </c>
      <c r="P14" s="155">
        <f>IFERROR(O14/(J6*N10),0)</f>
        <v>0</v>
      </c>
      <c r="Q14" s="77">
        <f>'📊売上入力'!BU6</f>
        <v>0</v>
      </c>
      <c r="R14" s="154">
        <f>IFERROR(Q14/B6,0)</f>
        <v>0</v>
      </c>
      <c r="S14" s="155">
        <f>IFERROR(R14/(J6*Q10),0)</f>
        <v>0</v>
      </c>
      <c r="T14" s="77">
        <f>'📊売上入力'!CG6</f>
        <v>0</v>
      </c>
      <c r="U14" s="154">
        <f>IFERROR(T14/B6,0)</f>
        <v>0</v>
      </c>
      <c r="V14" s="155">
        <f>IFERROR(U14/(J6*T10),0)</f>
        <v>0</v>
      </c>
      <c r="W14" s="77">
        <f>'📊売上入力'!CS6</f>
        <v>0</v>
      </c>
      <c r="X14" s="154">
        <f>IFERROR(W14/B6,0)</f>
        <v>0</v>
      </c>
      <c r="Y14" s="155">
        <f>IFERROR(X14/(J6*W10),0)</f>
        <v>0</v>
      </c>
      <c r="Z14" s="77">
        <f>'📊売上入力'!DE6</f>
        <v>0</v>
      </c>
      <c r="AA14" s="154">
        <f>IFERROR(Z14/B6,0)</f>
        <v>0</v>
      </c>
      <c r="AB14" s="155">
        <f>IFERROR(AA14/(J6*Z10),0)</f>
        <v>0</v>
      </c>
      <c r="AC14" s="77">
        <f>'📊売上入力'!DQ6</f>
        <v>0</v>
      </c>
      <c r="AD14" s="154">
        <f>IFERROR(AC14/B6,0)</f>
        <v>0</v>
      </c>
      <c r="AE14" s="155">
        <f>IFERROR(AD14/(J6*AC10),0)</f>
        <v>0</v>
      </c>
      <c r="AF14" s="77">
        <f>'📊売上入力'!EC6</f>
        <v>0</v>
      </c>
      <c r="AG14" s="154">
        <f>IFERROR(AF14/B6,0)</f>
        <v>0</v>
      </c>
      <c r="AH14" s="155">
        <f>IFERROR(AG14/(J6*AF10),0)</f>
        <v>0</v>
      </c>
      <c r="AI14" s="77">
        <f>'📊売上入力'!EO6</f>
        <v>0</v>
      </c>
      <c r="AJ14" s="154">
        <f>IFERROR(AI14/B6,0)</f>
        <v>0</v>
      </c>
      <c r="AK14" s="155">
        <f>IFERROR(AJ14/(J6*AI10),0)</f>
        <v>0</v>
      </c>
      <c r="AL14" s="59">
        <f t="shared" ref="AL14:AM14" si="4">B14+E14+H14+K14+N14+Q14+T14+W14+Z14+AC14+AF14+AI14</f>
        <v>31700</v>
      </c>
      <c r="AM14" s="156">
        <f t="shared" si="4"/>
        <v>105.6666667</v>
      </c>
      <c r="AN14" s="157">
        <f t="shared" si="5"/>
        <v>0.009879447099</v>
      </c>
      <c r="AO14" s="158" t="str">
        <f t="shared" si="6"/>
        <v>🔴 要改善</v>
      </c>
      <c r="AP14" s="112"/>
      <c r="AQ14" s="112"/>
      <c r="AR14" s="112"/>
      <c r="AS14" s="112"/>
      <c r="AT14" s="112"/>
      <c r="AU14" s="112"/>
      <c r="AV14" s="112"/>
      <c r="AW14" s="112"/>
    </row>
    <row r="15" ht="24.0" customHeight="1">
      <c r="A15" s="153" t="s">
        <v>119</v>
      </c>
      <c r="B15" s="77">
        <f>'📊売上入力'!M7</f>
        <v>41800</v>
      </c>
      <c r="C15" s="154">
        <f>IFERROR(B15/B6,0)</f>
        <v>139.3333333</v>
      </c>
      <c r="D15" s="155">
        <f>IFERROR(C15/(J6*B10),0)</f>
        <v>0.1560633214</v>
      </c>
      <c r="E15" s="77">
        <f>'📊売上入力'!Y7</f>
        <v>3100</v>
      </c>
      <c r="F15" s="154">
        <f>IFERROR(E15/B6,0)</f>
        <v>10.33333333</v>
      </c>
      <c r="G15" s="155">
        <f>IFERROR(F15/(J6*E10),0)</f>
        <v>0.01195987654</v>
      </c>
      <c r="H15" s="77">
        <f>'📊売上入力'!AK7</f>
        <v>0</v>
      </c>
      <c r="I15" s="154">
        <f>IFERROR(H15/B6,0)</f>
        <v>0</v>
      </c>
      <c r="J15" s="155">
        <f>IFERROR(I15/(J6*H10),0)</f>
        <v>0</v>
      </c>
      <c r="K15" s="77">
        <f>'📊売上入力'!AW7</f>
        <v>0</v>
      </c>
      <c r="L15" s="154">
        <f>IFERROR(K15/B6,0)</f>
        <v>0</v>
      </c>
      <c r="M15" s="155">
        <f>IFERROR(L15/(J6*K10),0)</f>
        <v>0</v>
      </c>
      <c r="N15" s="77">
        <f>'📊売上入力'!BI7</f>
        <v>0</v>
      </c>
      <c r="O15" s="154">
        <f>IFERROR(N15/B6,0)</f>
        <v>0</v>
      </c>
      <c r="P15" s="155">
        <f>IFERROR(O15/(J6*N10),0)</f>
        <v>0</v>
      </c>
      <c r="Q15" s="77">
        <f>'📊売上入力'!BU7</f>
        <v>0</v>
      </c>
      <c r="R15" s="154">
        <f>IFERROR(Q15/B6,0)</f>
        <v>0</v>
      </c>
      <c r="S15" s="155">
        <f>IFERROR(R15/(J6*Q10),0)</f>
        <v>0</v>
      </c>
      <c r="T15" s="77">
        <f>'📊売上入力'!CG7</f>
        <v>0</v>
      </c>
      <c r="U15" s="154">
        <f>IFERROR(T15/B6,0)</f>
        <v>0</v>
      </c>
      <c r="V15" s="155">
        <f>IFERROR(U15/(J6*T10),0)</f>
        <v>0</v>
      </c>
      <c r="W15" s="77">
        <f>'📊売上入力'!CS7</f>
        <v>0</v>
      </c>
      <c r="X15" s="154">
        <f>IFERROR(W15/B6,0)</f>
        <v>0</v>
      </c>
      <c r="Y15" s="155">
        <f>IFERROR(X15/(J6*W10),0)</f>
        <v>0</v>
      </c>
      <c r="Z15" s="77">
        <f>'📊売上入力'!DE7</f>
        <v>0</v>
      </c>
      <c r="AA15" s="154">
        <f>IFERROR(Z15/B6,0)</f>
        <v>0</v>
      </c>
      <c r="AB15" s="155">
        <f>IFERROR(AA15/(J6*Z10),0)</f>
        <v>0</v>
      </c>
      <c r="AC15" s="77">
        <f>'📊売上入力'!DQ7</f>
        <v>0</v>
      </c>
      <c r="AD15" s="154">
        <f>IFERROR(AC15/B6,0)</f>
        <v>0</v>
      </c>
      <c r="AE15" s="155">
        <f>IFERROR(AD15/(J6*AC10),0)</f>
        <v>0</v>
      </c>
      <c r="AF15" s="77">
        <f>'📊売上入力'!EC7</f>
        <v>0</v>
      </c>
      <c r="AG15" s="154">
        <f>IFERROR(AF15/B6,0)</f>
        <v>0</v>
      </c>
      <c r="AH15" s="155">
        <f>IFERROR(AG15/(J6*AF10),0)</f>
        <v>0</v>
      </c>
      <c r="AI15" s="77">
        <f>'📊売上入力'!EO7</f>
        <v>0</v>
      </c>
      <c r="AJ15" s="154">
        <f>IFERROR(AI15/B6,0)</f>
        <v>0</v>
      </c>
      <c r="AK15" s="155">
        <f>IFERROR(AJ15/(J6*AI10),0)</f>
        <v>0</v>
      </c>
      <c r="AL15" s="59">
        <f t="shared" ref="AL15:AM15" si="7">B15+E15+H15+K15+N15+Q15+T15+W15+Z15+AC15+AF15+AI15</f>
        <v>44900</v>
      </c>
      <c r="AM15" s="156">
        <f t="shared" si="7"/>
        <v>149.6666667</v>
      </c>
      <c r="AN15" s="157">
        <f t="shared" si="5"/>
        <v>0.01400193316</v>
      </c>
      <c r="AO15" s="158" t="str">
        <f t="shared" si="6"/>
        <v>🔴 要改善</v>
      </c>
      <c r="AP15" s="112"/>
      <c r="AQ15" s="112"/>
      <c r="AR15" s="112"/>
      <c r="AS15" s="112"/>
      <c r="AT15" s="112"/>
      <c r="AU15" s="112"/>
      <c r="AV15" s="112"/>
      <c r="AW15" s="112"/>
    </row>
    <row r="16" ht="24.0" customHeight="1">
      <c r="A16" s="153" t="s">
        <v>120</v>
      </c>
      <c r="B16" s="77">
        <f>'📊売上入力'!M8</f>
        <v>55700</v>
      </c>
      <c r="C16" s="154">
        <f>IFERROR(B16/B6,0)</f>
        <v>185.6666667</v>
      </c>
      <c r="D16" s="155">
        <f>IFERROR(C16/(J6*B10),0)</f>
        <v>0.2079599761</v>
      </c>
      <c r="E16" s="77">
        <f>'📊売上入力'!Y8</f>
        <v>4900</v>
      </c>
      <c r="F16" s="154">
        <f>IFERROR(E16/B6,0)</f>
        <v>16.33333333</v>
      </c>
      <c r="G16" s="155">
        <f>IFERROR(F16/(J6*E10),0)</f>
        <v>0.01890432099</v>
      </c>
      <c r="H16" s="77">
        <f>'📊売上入力'!AK8</f>
        <v>0</v>
      </c>
      <c r="I16" s="154">
        <f>IFERROR(H16/B6,0)</f>
        <v>0</v>
      </c>
      <c r="J16" s="155">
        <f>IFERROR(I16/(J6*H10),0)</f>
        <v>0</v>
      </c>
      <c r="K16" s="77">
        <f>'📊売上入力'!AW8</f>
        <v>0</v>
      </c>
      <c r="L16" s="154">
        <f>IFERROR(K16/B6,0)</f>
        <v>0</v>
      </c>
      <c r="M16" s="155">
        <f>IFERROR(L16/(J6*K10),0)</f>
        <v>0</v>
      </c>
      <c r="N16" s="77">
        <f>'📊売上入力'!BI8</f>
        <v>0</v>
      </c>
      <c r="O16" s="154">
        <f>IFERROR(N16/B6,0)</f>
        <v>0</v>
      </c>
      <c r="P16" s="155">
        <f>IFERROR(O16/(J6*N10),0)</f>
        <v>0</v>
      </c>
      <c r="Q16" s="77">
        <f>'📊売上入力'!BU8</f>
        <v>0</v>
      </c>
      <c r="R16" s="154">
        <f>IFERROR(Q16/B6,0)</f>
        <v>0</v>
      </c>
      <c r="S16" s="155">
        <f>IFERROR(R16/(J6*Q10),0)</f>
        <v>0</v>
      </c>
      <c r="T16" s="77">
        <f>'📊売上入力'!CG8</f>
        <v>0</v>
      </c>
      <c r="U16" s="154">
        <f>IFERROR(T16/B6,0)</f>
        <v>0</v>
      </c>
      <c r="V16" s="155">
        <f>IFERROR(U16/(J6*T10),0)</f>
        <v>0</v>
      </c>
      <c r="W16" s="77">
        <f>'📊売上入力'!CS8</f>
        <v>0</v>
      </c>
      <c r="X16" s="154">
        <f>IFERROR(W16/B6,0)</f>
        <v>0</v>
      </c>
      <c r="Y16" s="155">
        <f>IFERROR(X16/(J6*W10),0)</f>
        <v>0</v>
      </c>
      <c r="Z16" s="77">
        <f>'📊売上入力'!DE8</f>
        <v>0</v>
      </c>
      <c r="AA16" s="154">
        <f>IFERROR(Z16/B6,0)</f>
        <v>0</v>
      </c>
      <c r="AB16" s="155">
        <f>IFERROR(AA16/(J6*Z10),0)</f>
        <v>0</v>
      </c>
      <c r="AC16" s="77">
        <f>'📊売上入力'!DQ8</f>
        <v>0</v>
      </c>
      <c r="AD16" s="154">
        <f>IFERROR(AC16/B6,0)</f>
        <v>0</v>
      </c>
      <c r="AE16" s="155">
        <f>IFERROR(AD16/(J6*AC10),0)</f>
        <v>0</v>
      </c>
      <c r="AF16" s="77">
        <f>'📊売上入力'!EC8</f>
        <v>0</v>
      </c>
      <c r="AG16" s="154">
        <f>IFERROR(AF16/B6,0)</f>
        <v>0</v>
      </c>
      <c r="AH16" s="155">
        <f>IFERROR(AG16/(J6*AF10),0)</f>
        <v>0</v>
      </c>
      <c r="AI16" s="77">
        <f>'📊売上入力'!EO8</f>
        <v>0</v>
      </c>
      <c r="AJ16" s="154">
        <f>IFERROR(AI16/B6,0)</f>
        <v>0</v>
      </c>
      <c r="AK16" s="155">
        <f>IFERROR(AJ16/(J6*AI10),0)</f>
        <v>0</v>
      </c>
      <c r="AL16" s="59">
        <f t="shared" ref="AL16:AM16" si="8">B16+E16+H16+K16+N16+Q16+T16+W16+Z16+AC16+AF16+AI16</f>
        <v>60600</v>
      </c>
      <c r="AM16" s="156">
        <f t="shared" si="8"/>
        <v>202</v>
      </c>
      <c r="AN16" s="157">
        <f t="shared" si="5"/>
        <v>0.01890535809</v>
      </c>
      <c r="AO16" s="158" t="str">
        <f t="shared" si="6"/>
        <v>🔴 要改善</v>
      </c>
      <c r="AP16" s="112"/>
      <c r="AQ16" s="112"/>
      <c r="AR16" s="112"/>
      <c r="AS16" s="112"/>
      <c r="AT16" s="112"/>
      <c r="AU16" s="112"/>
      <c r="AV16" s="112"/>
      <c r="AW16" s="112"/>
    </row>
    <row r="17" ht="24.0" customHeight="1">
      <c r="A17" s="153" t="s">
        <v>121</v>
      </c>
      <c r="B17" s="77">
        <f>'📊売上入力'!M9</f>
        <v>49700</v>
      </c>
      <c r="C17" s="154">
        <f t="shared" ref="C17:C18" si="10">IFERROR(B17/B6,0)</f>
        <v>165.6666667</v>
      </c>
      <c r="D17" s="155">
        <f>IFERROR(C17/(J6*B10),0)</f>
        <v>0.1855585424</v>
      </c>
      <c r="E17" s="77">
        <f>'📊売上入力'!Y9</f>
        <v>5500</v>
      </c>
      <c r="F17" s="154">
        <f t="shared" ref="F17:F18" si="11">IFERROR(E17/B6,0)</f>
        <v>18.33333333</v>
      </c>
      <c r="G17" s="155">
        <f>IFERROR(F17/(J6*E10),0)</f>
        <v>0.0212191358</v>
      </c>
      <c r="H17" s="77">
        <f>'📊売上入力'!AK9</f>
        <v>0</v>
      </c>
      <c r="I17" s="154">
        <f t="shared" ref="I17:I18" si="12">IFERROR(H17/B6,0)</f>
        <v>0</v>
      </c>
      <c r="J17" s="155">
        <f>IFERROR(I17/(J6*H10),0)</f>
        <v>0</v>
      </c>
      <c r="K17" s="77">
        <f>'📊売上入力'!AW9</f>
        <v>0</v>
      </c>
      <c r="L17" s="154">
        <f t="shared" ref="L17:L18" si="13">IFERROR(K17/B6,0)</f>
        <v>0</v>
      </c>
      <c r="M17" s="155">
        <f>IFERROR(L17/(J6*K10),0)</f>
        <v>0</v>
      </c>
      <c r="N17" s="77">
        <f>'📊売上入力'!BI9</f>
        <v>0</v>
      </c>
      <c r="O17" s="154">
        <f t="shared" ref="O17:O18" si="14">IFERROR(N17/B6,0)</f>
        <v>0</v>
      </c>
      <c r="P17" s="155">
        <f>IFERROR(O17/(J6*N10),0)</f>
        <v>0</v>
      </c>
      <c r="Q17" s="77">
        <f>'📊売上入力'!BU9</f>
        <v>0</v>
      </c>
      <c r="R17" s="154">
        <f t="shared" ref="R17:R18" si="15">IFERROR(Q17/B6,0)</f>
        <v>0</v>
      </c>
      <c r="S17" s="155">
        <f>IFERROR(R17/(J6*Q10),0)</f>
        <v>0</v>
      </c>
      <c r="T17" s="77">
        <f>'📊売上入力'!CG9</f>
        <v>0</v>
      </c>
      <c r="U17" s="154">
        <f t="shared" ref="U17:U18" si="16">IFERROR(T17/B6,0)</f>
        <v>0</v>
      </c>
      <c r="V17" s="155">
        <f>IFERROR(U17/(J6*T10),0)</f>
        <v>0</v>
      </c>
      <c r="W17" s="77">
        <f>'📊売上入力'!CS9</f>
        <v>0</v>
      </c>
      <c r="X17" s="154">
        <f t="shared" ref="X17:X18" si="17">IFERROR(W17/B6,0)</f>
        <v>0</v>
      </c>
      <c r="Y17" s="155">
        <f>IFERROR(X17/(J6*W10),0)</f>
        <v>0</v>
      </c>
      <c r="Z17" s="77">
        <f>'📊売上入力'!DE9</f>
        <v>0</v>
      </c>
      <c r="AA17" s="154">
        <f t="shared" ref="AA17:AA18" si="18">IFERROR(Z17/B6,0)</f>
        <v>0</v>
      </c>
      <c r="AB17" s="155">
        <f>IFERROR(AA17/(J6*Z10),0)</f>
        <v>0</v>
      </c>
      <c r="AC17" s="77">
        <f>'📊売上入力'!DQ9</f>
        <v>0</v>
      </c>
      <c r="AD17" s="154">
        <f t="shared" ref="AD17:AD18" si="19">IFERROR(AC17/B6,0)</f>
        <v>0</v>
      </c>
      <c r="AE17" s="155">
        <f>IFERROR(AD17/(J6*AC10),0)</f>
        <v>0</v>
      </c>
      <c r="AF17" s="77">
        <f>'📊売上入力'!EC9</f>
        <v>0</v>
      </c>
      <c r="AG17" s="154">
        <f t="shared" ref="AG17:AG18" si="20">IFERROR(AF17/B6,0)</f>
        <v>0</v>
      </c>
      <c r="AH17" s="155">
        <f>IFERROR(AG17/(J6*AF10),0)</f>
        <v>0</v>
      </c>
      <c r="AI17" s="77">
        <f>'📊売上入力'!EO9</f>
        <v>0</v>
      </c>
      <c r="AJ17" s="154">
        <f t="shared" ref="AJ17:AJ18" si="21">IFERROR(AI17/B6,0)</f>
        <v>0</v>
      </c>
      <c r="AK17" s="155">
        <f>IFERROR(AJ17/(J6*AI10),0)</f>
        <v>0</v>
      </c>
      <c r="AL17" s="59">
        <f t="shared" ref="AL17:AM17" si="9">B17+E17+H17+K17+N17+Q17+T17+W17+Z17+AC17+AF17+AI17</f>
        <v>55200</v>
      </c>
      <c r="AM17" s="156">
        <f t="shared" si="9"/>
        <v>184</v>
      </c>
      <c r="AN17" s="157">
        <f t="shared" si="5"/>
        <v>0.01723147318</v>
      </c>
      <c r="AO17" s="158" t="str">
        <f t="shared" si="6"/>
        <v>🔴 要改善</v>
      </c>
      <c r="AP17" s="112"/>
      <c r="AQ17" s="112"/>
      <c r="AR17" s="112"/>
      <c r="AS17" s="112"/>
      <c r="AT17" s="112"/>
      <c r="AU17" s="112"/>
      <c r="AV17" s="112"/>
      <c r="AW17" s="112"/>
    </row>
    <row r="18" ht="24.0" customHeight="1">
      <c r="A18" s="159" t="s">
        <v>122</v>
      </c>
      <c r="B18" s="104">
        <f>'📊売上入力'!M10</f>
        <v>25400</v>
      </c>
      <c r="C18" s="160">
        <f t="shared" si="10"/>
        <v>84.66666667</v>
      </c>
      <c r="D18" s="161">
        <f>IFERROR(C18/(J7*B10),0)</f>
        <v>0.08345280765</v>
      </c>
      <c r="E18" s="104">
        <f>'📊売上入力'!Y10</f>
        <v>3300</v>
      </c>
      <c r="F18" s="160">
        <f t="shared" si="11"/>
        <v>11</v>
      </c>
      <c r="G18" s="161">
        <f>IFERROR(F18/(J7*E10),0)</f>
        <v>0.0112037037</v>
      </c>
      <c r="H18" s="104">
        <f>'📊売上入力'!AK10</f>
        <v>0</v>
      </c>
      <c r="I18" s="160">
        <f t="shared" si="12"/>
        <v>0</v>
      </c>
      <c r="J18" s="161">
        <f>IFERROR(I18/(J7*H10),0)</f>
        <v>0</v>
      </c>
      <c r="K18" s="104">
        <f>'📊売上入力'!AW10</f>
        <v>0</v>
      </c>
      <c r="L18" s="160">
        <f t="shared" si="13"/>
        <v>0</v>
      </c>
      <c r="M18" s="161">
        <f>IFERROR(L18/(J7*K10),0)</f>
        <v>0</v>
      </c>
      <c r="N18" s="104">
        <f>'📊売上入力'!BI10</f>
        <v>0</v>
      </c>
      <c r="O18" s="160">
        <f t="shared" si="14"/>
        <v>0</v>
      </c>
      <c r="P18" s="161">
        <f>IFERROR(O18/(J7*N10),0)</f>
        <v>0</v>
      </c>
      <c r="Q18" s="104">
        <f>'📊売上入力'!BU10</f>
        <v>0</v>
      </c>
      <c r="R18" s="160">
        <f t="shared" si="15"/>
        <v>0</v>
      </c>
      <c r="S18" s="161">
        <f>IFERROR(R18/(J7*Q10),0)</f>
        <v>0</v>
      </c>
      <c r="T18" s="104">
        <f>'📊売上入力'!CG10</f>
        <v>0</v>
      </c>
      <c r="U18" s="160">
        <f t="shared" si="16"/>
        <v>0</v>
      </c>
      <c r="V18" s="161">
        <f>IFERROR(U18/(J7*T10),0)</f>
        <v>0</v>
      </c>
      <c r="W18" s="104">
        <f>'📊売上入力'!CS10</f>
        <v>0</v>
      </c>
      <c r="X18" s="160">
        <f t="shared" si="17"/>
        <v>0</v>
      </c>
      <c r="Y18" s="161">
        <f>IFERROR(X18/(J7*W10),0)</f>
        <v>0</v>
      </c>
      <c r="Z18" s="104">
        <f>'📊売上入力'!DE10</f>
        <v>0</v>
      </c>
      <c r="AA18" s="160">
        <f t="shared" si="18"/>
        <v>0</v>
      </c>
      <c r="AB18" s="161">
        <f>IFERROR(AA18/(J7*Z10),0)</f>
        <v>0</v>
      </c>
      <c r="AC18" s="104">
        <f>'📊売上入力'!DQ10</f>
        <v>0</v>
      </c>
      <c r="AD18" s="160">
        <f t="shared" si="19"/>
        <v>0</v>
      </c>
      <c r="AE18" s="161">
        <f>IFERROR(AD18/(J7*AC10),0)</f>
        <v>0</v>
      </c>
      <c r="AF18" s="104">
        <f>'📊売上入力'!EC10</f>
        <v>0</v>
      </c>
      <c r="AG18" s="160">
        <f t="shared" si="20"/>
        <v>0</v>
      </c>
      <c r="AH18" s="161">
        <f>IFERROR(AG18/(J7*AF10),0)</f>
        <v>0</v>
      </c>
      <c r="AI18" s="104">
        <f>'📊売上入力'!EO10</f>
        <v>0</v>
      </c>
      <c r="AJ18" s="160">
        <f t="shared" si="21"/>
        <v>0</v>
      </c>
      <c r="AK18" s="161">
        <f>IFERROR(AJ18/(J7*AI10),0)</f>
        <v>0</v>
      </c>
      <c r="AL18" s="59">
        <f t="shared" ref="AL18:AM18" si="22">B18+E18+H18+K18+N18+Q18+T18+W18+Z18+AC18+AF18+AI18</f>
        <v>28700</v>
      </c>
      <c r="AM18" s="156">
        <f t="shared" si="22"/>
        <v>95.66666667</v>
      </c>
      <c r="AN18" s="157">
        <f t="shared" si="5"/>
        <v>0.007888042613</v>
      </c>
      <c r="AO18" s="158" t="str">
        <f t="shared" si="6"/>
        <v>🔴 要改善</v>
      </c>
      <c r="AP18" s="112"/>
      <c r="AQ18" s="112"/>
      <c r="AR18" s="112"/>
      <c r="AS18" s="112"/>
      <c r="AT18" s="112"/>
      <c r="AU18" s="112"/>
      <c r="AV18" s="112"/>
      <c r="AW18" s="112"/>
    </row>
    <row r="19" ht="24.0" customHeight="1">
      <c r="A19" s="159" t="s">
        <v>123</v>
      </c>
      <c r="B19" s="104">
        <f>'📊売上入力'!M11</f>
        <v>10400</v>
      </c>
      <c r="C19" s="160">
        <f t="shared" ref="C19:C20" si="24">IFERROR(B19/B7,0)</f>
        <v>34.66666667</v>
      </c>
      <c r="D19" s="161">
        <f>IFERROR(C19/(J7*B10),0)</f>
        <v>0.03416965352</v>
      </c>
      <c r="E19" s="104">
        <f>'📊売上入力'!Y11</f>
        <v>1700</v>
      </c>
      <c r="F19" s="160">
        <f t="shared" ref="F19:F20" si="25">IFERROR(E19/B7,0)</f>
        <v>5.666666667</v>
      </c>
      <c r="G19" s="161">
        <f>IFERROR(F19/(J7*E10),0)</f>
        <v>0.005771604938</v>
      </c>
      <c r="H19" s="104">
        <f>'📊売上入力'!AK11</f>
        <v>0</v>
      </c>
      <c r="I19" s="160">
        <f t="shared" ref="I19:I20" si="26">IFERROR(H19/B7,0)</f>
        <v>0</v>
      </c>
      <c r="J19" s="161">
        <f>IFERROR(I19/(J7*H10),0)</f>
        <v>0</v>
      </c>
      <c r="K19" s="104">
        <f>'📊売上入力'!AW11</f>
        <v>0</v>
      </c>
      <c r="L19" s="160">
        <f t="shared" ref="L19:L20" si="27">IFERROR(K19/B7,0)</f>
        <v>0</v>
      </c>
      <c r="M19" s="161">
        <f>IFERROR(L19/(J7*K10),0)</f>
        <v>0</v>
      </c>
      <c r="N19" s="104">
        <f>'📊売上入力'!BI11</f>
        <v>0</v>
      </c>
      <c r="O19" s="160">
        <f t="shared" ref="O19:O20" si="28">IFERROR(N19/B7,0)</f>
        <v>0</v>
      </c>
      <c r="P19" s="161">
        <f>IFERROR(O19/(J7*N10),0)</f>
        <v>0</v>
      </c>
      <c r="Q19" s="104">
        <f>'📊売上入力'!BU11</f>
        <v>0</v>
      </c>
      <c r="R19" s="160">
        <f t="shared" ref="R19:R20" si="29">IFERROR(Q19/B7,0)</f>
        <v>0</v>
      </c>
      <c r="S19" s="161">
        <f>IFERROR(R19/(J7*Q10),0)</f>
        <v>0</v>
      </c>
      <c r="T19" s="104">
        <f>'📊売上入力'!CG11</f>
        <v>0</v>
      </c>
      <c r="U19" s="160">
        <f t="shared" ref="U19:U20" si="30">IFERROR(T19/B7,0)</f>
        <v>0</v>
      </c>
      <c r="V19" s="161">
        <f>IFERROR(U19/(J7*T10),0)</f>
        <v>0</v>
      </c>
      <c r="W19" s="104">
        <f>'📊売上入力'!CS11</f>
        <v>0</v>
      </c>
      <c r="X19" s="160">
        <f t="shared" ref="X19:X20" si="31">IFERROR(W19/B7,0)</f>
        <v>0</v>
      </c>
      <c r="Y19" s="161">
        <f>IFERROR(X19/(J7*W10),0)</f>
        <v>0</v>
      </c>
      <c r="Z19" s="104">
        <f>'📊売上入力'!DE11</f>
        <v>0</v>
      </c>
      <c r="AA19" s="160">
        <f t="shared" ref="AA19:AA20" si="32">IFERROR(Z19/B7,0)</f>
        <v>0</v>
      </c>
      <c r="AB19" s="161">
        <f>IFERROR(AA19/(J7*Z10),0)</f>
        <v>0</v>
      </c>
      <c r="AC19" s="104">
        <f>'📊売上入力'!DQ11</f>
        <v>0</v>
      </c>
      <c r="AD19" s="160">
        <f t="shared" ref="AD19:AD20" si="33">IFERROR(AC19/B7,0)</f>
        <v>0</v>
      </c>
      <c r="AE19" s="161">
        <f>IFERROR(AD19/(J7*AC10),0)</f>
        <v>0</v>
      </c>
      <c r="AF19" s="104">
        <f>'📊売上入力'!EC11</f>
        <v>0</v>
      </c>
      <c r="AG19" s="160">
        <f t="shared" ref="AG19:AG20" si="34">IFERROR(AF19/B7,0)</f>
        <v>0</v>
      </c>
      <c r="AH19" s="161">
        <f>IFERROR(AG19/(J7*AF10),0)</f>
        <v>0</v>
      </c>
      <c r="AI19" s="104">
        <f>'📊売上入力'!EO11</f>
        <v>0</v>
      </c>
      <c r="AJ19" s="160">
        <f t="shared" ref="AJ19:AJ20" si="35">IFERROR(AI19/B7,0)</f>
        <v>0</v>
      </c>
      <c r="AK19" s="161">
        <f>IFERROR(AJ19/(J7*AI10),0)</f>
        <v>0</v>
      </c>
      <c r="AL19" s="59">
        <f t="shared" ref="AL19:AM19" si="23">B19+E19+H19+K19+N19+Q19+T19+W19+Z19+AC19+AF19+AI19</f>
        <v>12100</v>
      </c>
      <c r="AM19" s="156">
        <f t="shared" si="23"/>
        <v>40.33333333</v>
      </c>
      <c r="AN19" s="157">
        <f t="shared" si="5"/>
        <v>0.003328438205</v>
      </c>
      <c r="AO19" s="158" t="str">
        <f t="shared" si="6"/>
        <v>🔴 要改善</v>
      </c>
      <c r="AP19" s="112"/>
      <c r="AQ19" s="112"/>
      <c r="AR19" s="112"/>
      <c r="AS19" s="112"/>
      <c r="AT19" s="112"/>
      <c r="AU19" s="112"/>
      <c r="AV19" s="112"/>
      <c r="AW19" s="112"/>
    </row>
    <row r="20" ht="24.0" customHeight="1">
      <c r="A20" s="162" t="s">
        <v>124</v>
      </c>
      <c r="B20" s="106">
        <f>'📊売上入力'!M12</f>
        <v>152800</v>
      </c>
      <c r="C20" s="163">
        <f t="shared" si="24"/>
        <v>132.8695652</v>
      </c>
      <c r="D20" s="164">
        <f>IFERROR(C20/(J8*B10),0)</f>
        <v>0.2440704379</v>
      </c>
      <c r="E20" s="106">
        <f>'📊売上入力'!Y12</f>
        <v>19300</v>
      </c>
      <c r="F20" s="163">
        <f t="shared" si="25"/>
        <v>16.7826087</v>
      </c>
      <c r="G20" s="164">
        <f>IFERROR(F20/(J8*E10),0)</f>
        <v>0.03185587762</v>
      </c>
      <c r="H20" s="106">
        <f>'📊売上入力'!AK12</f>
        <v>0</v>
      </c>
      <c r="I20" s="163">
        <f t="shared" si="26"/>
        <v>0</v>
      </c>
      <c r="J20" s="164">
        <f>IFERROR(I20/(J8*H10),0)</f>
        <v>0</v>
      </c>
      <c r="K20" s="106">
        <f>'📊売上入力'!AW12</f>
        <v>0</v>
      </c>
      <c r="L20" s="163">
        <f t="shared" si="27"/>
        <v>0</v>
      </c>
      <c r="M20" s="164">
        <f>IFERROR(L20/(J8*K10),0)</f>
        <v>0</v>
      </c>
      <c r="N20" s="106">
        <f>'📊売上入力'!BI12</f>
        <v>0</v>
      </c>
      <c r="O20" s="163">
        <f t="shared" si="28"/>
        <v>0</v>
      </c>
      <c r="P20" s="164">
        <f>IFERROR(O20/(J8*N10),0)</f>
        <v>0</v>
      </c>
      <c r="Q20" s="106">
        <f>'📊売上入力'!BU12</f>
        <v>0</v>
      </c>
      <c r="R20" s="163">
        <f t="shared" si="29"/>
        <v>0</v>
      </c>
      <c r="S20" s="164">
        <f>IFERROR(R20/(J8*Q10),0)</f>
        <v>0</v>
      </c>
      <c r="T20" s="106">
        <f>'📊売上入力'!CG12</f>
        <v>0</v>
      </c>
      <c r="U20" s="163">
        <f t="shared" si="30"/>
        <v>0</v>
      </c>
      <c r="V20" s="164">
        <f>IFERROR(U20/(J8*T10),0)</f>
        <v>0</v>
      </c>
      <c r="W20" s="106">
        <f>'📊売上入力'!CS12</f>
        <v>0</v>
      </c>
      <c r="X20" s="163">
        <f t="shared" si="31"/>
        <v>0</v>
      </c>
      <c r="Y20" s="164">
        <f>IFERROR(X20/(J8*W10),0)</f>
        <v>0</v>
      </c>
      <c r="Z20" s="106">
        <f>'📊売上入力'!DE12</f>
        <v>0</v>
      </c>
      <c r="AA20" s="163">
        <f t="shared" si="32"/>
        <v>0</v>
      </c>
      <c r="AB20" s="164">
        <f>IFERROR(AA20/(J8*Z10),0)</f>
        <v>0</v>
      </c>
      <c r="AC20" s="106">
        <f>'📊売上入力'!DQ12</f>
        <v>0</v>
      </c>
      <c r="AD20" s="163">
        <f t="shared" si="33"/>
        <v>0</v>
      </c>
      <c r="AE20" s="164">
        <f>IFERROR(AD20/(J8*AC10),0)</f>
        <v>0</v>
      </c>
      <c r="AF20" s="106">
        <f>'📊売上入力'!EC12</f>
        <v>0</v>
      </c>
      <c r="AG20" s="163">
        <f t="shared" si="34"/>
        <v>0</v>
      </c>
      <c r="AH20" s="164">
        <f>IFERROR(AG20/(J8*AF10),0)</f>
        <v>0</v>
      </c>
      <c r="AI20" s="106">
        <f>'📊売上入力'!EO12</f>
        <v>0</v>
      </c>
      <c r="AJ20" s="163">
        <f t="shared" si="35"/>
        <v>0</v>
      </c>
      <c r="AK20" s="164">
        <f>IFERROR(AJ20/(J8*AI10),0)</f>
        <v>0</v>
      </c>
      <c r="AL20" s="59">
        <f t="shared" ref="AL20:AM20" si="36">B20+E20+H20+K20+N20+Q20+T20+W20+Z20+AC20+AF20+AI20</f>
        <v>172100</v>
      </c>
      <c r="AM20" s="156">
        <f t="shared" si="36"/>
        <v>149.6521739</v>
      </c>
      <c r="AN20" s="157">
        <f t="shared" si="5"/>
        <v>0.02299385963</v>
      </c>
      <c r="AO20" s="158" t="str">
        <f t="shared" si="6"/>
        <v>🔴 要改善</v>
      </c>
      <c r="AP20" s="112"/>
      <c r="AQ20" s="112"/>
      <c r="AR20" s="112"/>
      <c r="AS20" s="112"/>
      <c r="AT20" s="112"/>
      <c r="AU20" s="112"/>
      <c r="AV20" s="112"/>
      <c r="AW20" s="112"/>
    </row>
    <row r="21" ht="27.75" customHeight="1">
      <c r="A21" s="165" t="s">
        <v>170</v>
      </c>
      <c r="B21" s="58">
        <f t="shared" ref="B21:C21" si="37">SUM(B13:B20)</f>
        <v>380500</v>
      </c>
      <c r="C21" s="166">
        <f t="shared" si="37"/>
        <v>891.8695652</v>
      </c>
      <c r="D21" s="98">
        <f>IFERROR(AVERAGE(D13:D20),0)</f>
        <v>0.1347706775</v>
      </c>
      <c r="E21" s="58">
        <f t="shared" ref="E21:F21" si="38">SUM(E13:E20)</f>
        <v>40700</v>
      </c>
      <c r="F21" s="166">
        <f t="shared" si="38"/>
        <v>88.11594203</v>
      </c>
      <c r="G21" s="98">
        <f>IFERROR(AVERAGE(G13:G20),0)</f>
        <v>0.0140128489</v>
      </c>
      <c r="H21" s="58">
        <f t="shared" ref="H21:I21" si="39">SUM(H13:H20)</f>
        <v>0</v>
      </c>
      <c r="I21" s="166">
        <f t="shared" si="39"/>
        <v>0</v>
      </c>
      <c r="J21" s="98">
        <f>IFERROR(AVERAGE(J13:J20),0)</f>
        <v>0</v>
      </c>
      <c r="K21" s="58">
        <f t="shared" ref="K21:L21" si="40">SUM(K13:K20)</f>
        <v>0</v>
      </c>
      <c r="L21" s="166">
        <f t="shared" si="40"/>
        <v>0</v>
      </c>
      <c r="M21" s="98">
        <f>IFERROR(AVERAGE(M13:M20),0)</f>
        <v>0</v>
      </c>
      <c r="N21" s="58">
        <f t="shared" ref="N21:O21" si="41">SUM(N13:N20)</f>
        <v>0</v>
      </c>
      <c r="O21" s="166">
        <f t="shared" si="41"/>
        <v>0</v>
      </c>
      <c r="P21" s="98">
        <f>IFERROR(AVERAGE(P13:P20),0)</f>
        <v>0</v>
      </c>
      <c r="Q21" s="58">
        <f t="shared" ref="Q21:R21" si="42">SUM(Q13:Q20)</f>
        <v>0</v>
      </c>
      <c r="R21" s="166">
        <f t="shared" si="42"/>
        <v>0</v>
      </c>
      <c r="S21" s="98">
        <f>IFERROR(AVERAGE(S13:S20),0)</f>
        <v>0</v>
      </c>
      <c r="T21" s="58">
        <f t="shared" ref="T21:U21" si="43">SUM(T13:T20)</f>
        <v>0</v>
      </c>
      <c r="U21" s="166">
        <f t="shared" si="43"/>
        <v>0</v>
      </c>
      <c r="V21" s="98">
        <f>IFERROR(AVERAGE(V13:V20),0)</f>
        <v>0</v>
      </c>
      <c r="W21" s="58">
        <f t="shared" ref="W21:X21" si="44">SUM(W13:W20)</f>
        <v>0</v>
      </c>
      <c r="X21" s="166">
        <f t="shared" si="44"/>
        <v>0</v>
      </c>
      <c r="Y21" s="98">
        <f>IFERROR(AVERAGE(Y13:Y20),0)</f>
        <v>0</v>
      </c>
      <c r="Z21" s="58">
        <f t="shared" ref="Z21:AA21" si="45">SUM(Z13:Z20)</f>
        <v>0</v>
      </c>
      <c r="AA21" s="166">
        <f t="shared" si="45"/>
        <v>0</v>
      </c>
      <c r="AB21" s="98">
        <f>IFERROR(AVERAGE(AB13:AB20),0)</f>
        <v>0</v>
      </c>
      <c r="AC21" s="58">
        <f t="shared" ref="AC21:AD21" si="46">SUM(AC13:AC20)</f>
        <v>0</v>
      </c>
      <c r="AD21" s="166">
        <f t="shared" si="46"/>
        <v>0</v>
      </c>
      <c r="AE21" s="98">
        <f>IFERROR(AVERAGE(AE13:AE20),0)</f>
        <v>0</v>
      </c>
      <c r="AF21" s="58">
        <f t="shared" ref="AF21:AG21" si="47">SUM(AF13:AF20)</f>
        <v>0</v>
      </c>
      <c r="AG21" s="166">
        <f t="shared" si="47"/>
        <v>0</v>
      </c>
      <c r="AH21" s="98">
        <f>IFERROR(AVERAGE(AH13:AH20),0)</f>
        <v>0</v>
      </c>
      <c r="AI21" s="58">
        <f t="shared" ref="AI21:AJ21" si="48">SUM(AI13:AI20)</f>
        <v>0</v>
      </c>
      <c r="AJ21" s="166">
        <f t="shared" si="48"/>
        <v>0</v>
      </c>
      <c r="AK21" s="98">
        <f>IFERROR(AVERAGE(AK13:AK20),0)</f>
        <v>0</v>
      </c>
      <c r="AL21" s="58">
        <f t="shared" ref="AL21:AM21" si="49">SUM(AL13:AL20)</f>
        <v>421200</v>
      </c>
      <c r="AM21" s="58">
        <f t="shared" si="49"/>
        <v>979.9855072</v>
      </c>
      <c r="AN21" s="98">
        <f>IFERROR(AVERAGE(AH13:AH20),0)</f>
        <v>0</v>
      </c>
      <c r="AO21" s="152"/>
      <c r="AP21" s="112"/>
      <c r="AQ21" s="112"/>
      <c r="AR21" s="112"/>
      <c r="AS21" s="112"/>
      <c r="AT21" s="112"/>
      <c r="AU21" s="112"/>
      <c r="AV21" s="112"/>
      <c r="AW21" s="112"/>
    </row>
    <row r="22" ht="19.5" customHeight="1">
      <c r="A22" s="167" t="s">
        <v>171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39"/>
      <c r="AP22" s="112"/>
      <c r="AQ22" s="112"/>
      <c r="AR22" s="112"/>
      <c r="AS22" s="112"/>
      <c r="AT22" s="112"/>
      <c r="AU22" s="112"/>
      <c r="AV22" s="112"/>
      <c r="AW22" s="112"/>
    </row>
    <row r="23" ht="19.5" customHeight="1">
      <c r="A23" s="168" t="s">
        <v>172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39"/>
      <c r="AP23" s="112"/>
      <c r="AQ23" s="112"/>
      <c r="AR23" s="112"/>
      <c r="AS23" s="112"/>
      <c r="AT23" s="112"/>
      <c r="AU23" s="112"/>
      <c r="AV23" s="112"/>
      <c r="AW23" s="112"/>
    </row>
    <row r="24" ht="19.5" customHeight="1">
      <c r="A24" s="169" t="s">
        <v>173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39"/>
      <c r="AP24" s="112"/>
      <c r="AQ24" s="112"/>
      <c r="AR24" s="112"/>
      <c r="AS24" s="112"/>
      <c r="AT24" s="112"/>
      <c r="AU24" s="112"/>
      <c r="AV24" s="112"/>
      <c r="AW24" s="112"/>
    </row>
    <row r="25" ht="15.75" customHeight="1">
      <c r="A25" s="170"/>
      <c r="B25" s="170"/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  <c r="AF25" s="170"/>
      <c r="AG25" s="170"/>
      <c r="AH25" s="170"/>
      <c r="AI25" s="170"/>
      <c r="AJ25" s="170"/>
      <c r="AK25" s="170"/>
      <c r="AL25" s="170"/>
      <c r="AM25" s="170"/>
      <c r="AN25" s="170"/>
      <c r="AO25" s="170"/>
      <c r="AP25" s="170"/>
      <c r="AQ25" s="170"/>
      <c r="AR25" s="170"/>
      <c r="AS25" s="170"/>
      <c r="AT25" s="170"/>
      <c r="AU25" s="170"/>
      <c r="AV25" s="170"/>
      <c r="AW25" s="170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</row>
  </sheetData>
  <mergeCells count="60">
    <mergeCell ref="E11:G11"/>
    <mergeCell ref="H11:J11"/>
    <mergeCell ref="K11:M11"/>
    <mergeCell ref="N11:P11"/>
    <mergeCell ref="B8:C8"/>
    <mergeCell ref="E10:G10"/>
    <mergeCell ref="H10:J10"/>
    <mergeCell ref="K10:M10"/>
    <mergeCell ref="N10:P10"/>
    <mergeCell ref="Q10:S10"/>
    <mergeCell ref="A11:A12"/>
    <mergeCell ref="Q11:S11"/>
    <mergeCell ref="AC11:AE11"/>
    <mergeCell ref="AF11:AH11"/>
    <mergeCell ref="T10:V10"/>
    <mergeCell ref="W10:Y10"/>
    <mergeCell ref="Z10:AB10"/>
    <mergeCell ref="AC10:AE10"/>
    <mergeCell ref="AF10:AH10"/>
    <mergeCell ref="AI10:AK10"/>
    <mergeCell ref="T11:V11"/>
    <mergeCell ref="AI11:AK11"/>
    <mergeCell ref="A1:AO1"/>
    <mergeCell ref="A2:AO2"/>
    <mergeCell ref="A4:AO4"/>
    <mergeCell ref="B5:C5"/>
    <mergeCell ref="D5:E5"/>
    <mergeCell ref="F5:G5"/>
    <mergeCell ref="H5:I5"/>
    <mergeCell ref="N5:O5"/>
    <mergeCell ref="L6:M6"/>
    <mergeCell ref="N6:O6"/>
    <mergeCell ref="J5:K5"/>
    <mergeCell ref="L5:M5"/>
    <mergeCell ref="B6:C6"/>
    <mergeCell ref="D6:E6"/>
    <mergeCell ref="F6:G6"/>
    <mergeCell ref="H6:I6"/>
    <mergeCell ref="J6:K6"/>
    <mergeCell ref="B7:C7"/>
    <mergeCell ref="D7:E7"/>
    <mergeCell ref="F7:G7"/>
    <mergeCell ref="H7:I7"/>
    <mergeCell ref="J7:K7"/>
    <mergeCell ref="L7:M7"/>
    <mergeCell ref="N7:O7"/>
    <mergeCell ref="D8:E8"/>
    <mergeCell ref="F8:G8"/>
    <mergeCell ref="H8:I8"/>
    <mergeCell ref="J8:K8"/>
    <mergeCell ref="L8:M8"/>
    <mergeCell ref="N8:O8"/>
    <mergeCell ref="A9:AO9"/>
    <mergeCell ref="B10:D10"/>
    <mergeCell ref="B11:D11"/>
    <mergeCell ref="W11:Y11"/>
    <mergeCell ref="Z11:AB11"/>
    <mergeCell ref="A22:AO22"/>
    <mergeCell ref="A23:AO23"/>
    <mergeCell ref="A24:AO24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3.29"/>
    <col customWidth="1" min="2" max="13" width="13.0"/>
    <col customWidth="1" min="14" max="14" width="16.0"/>
    <col customWidth="1" min="15" max="17" width="8.71"/>
  </cols>
  <sheetData>
    <row r="1" ht="42.0" customHeight="1">
      <c r="A1" s="171" t="s">
        <v>174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9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5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27.75" customHeight="1">
      <c r="A3" s="172" t="s">
        <v>175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9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25.5" customHeight="1">
      <c r="A4" s="173" t="s">
        <v>176</v>
      </c>
      <c r="B4" s="174">
        <v>46143.0</v>
      </c>
      <c r="C4" s="175">
        <v>46174.0</v>
      </c>
      <c r="D4" s="174">
        <v>46204.0</v>
      </c>
      <c r="E4" s="175">
        <v>46235.0</v>
      </c>
      <c r="F4" s="174">
        <v>46266.0</v>
      </c>
      <c r="G4" s="175">
        <v>46296.0</v>
      </c>
      <c r="H4" s="174">
        <v>46327.0</v>
      </c>
      <c r="I4" s="175">
        <v>46357.0</v>
      </c>
      <c r="J4" s="174">
        <v>46388.0</v>
      </c>
      <c r="K4" s="175">
        <v>46419.0</v>
      </c>
      <c r="L4" s="174">
        <v>46447.0</v>
      </c>
      <c r="M4" s="175">
        <v>46478.0</v>
      </c>
      <c r="N4" s="176" t="s">
        <v>177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24.0" customHeight="1">
      <c r="A5" s="177" t="s">
        <v>178</v>
      </c>
      <c r="B5" s="178"/>
      <c r="C5" s="179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1">
        <f t="shared" ref="N5:N9" si="1">SUM(B5:M5)</f>
        <v>0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24.0" customHeight="1">
      <c r="A6" s="177" t="s">
        <v>179</v>
      </c>
      <c r="B6" s="179"/>
      <c r="C6" s="179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1">
        <f t="shared" si="1"/>
        <v>0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24.0" customHeight="1">
      <c r="A7" s="177" t="s">
        <v>180</v>
      </c>
      <c r="B7" s="179"/>
      <c r="C7" s="179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1">
        <f t="shared" si="1"/>
        <v>0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24.0" customHeight="1">
      <c r="A8" s="182" t="s">
        <v>181</v>
      </c>
      <c r="B8" s="179"/>
      <c r="C8" s="179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1">
        <f t="shared" si="1"/>
        <v>0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24.0" customHeight="1">
      <c r="A9" s="183" t="s">
        <v>182</v>
      </c>
      <c r="B9" s="178"/>
      <c r="C9" s="179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1">
        <f t="shared" si="1"/>
        <v>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27.75" customHeight="1">
      <c r="A10" s="184" t="s">
        <v>183</v>
      </c>
      <c r="B10" s="185">
        <f t="shared" ref="B10:N10" si="2">SUM(B5:B9)</f>
        <v>0</v>
      </c>
      <c r="C10" s="185">
        <f t="shared" si="2"/>
        <v>0</v>
      </c>
      <c r="D10" s="185">
        <f t="shared" si="2"/>
        <v>0</v>
      </c>
      <c r="E10" s="185">
        <f t="shared" si="2"/>
        <v>0</v>
      </c>
      <c r="F10" s="185">
        <f t="shared" si="2"/>
        <v>0</v>
      </c>
      <c r="G10" s="185">
        <f t="shared" si="2"/>
        <v>0</v>
      </c>
      <c r="H10" s="185">
        <f t="shared" si="2"/>
        <v>0</v>
      </c>
      <c r="I10" s="185">
        <f t="shared" si="2"/>
        <v>0</v>
      </c>
      <c r="J10" s="185">
        <f t="shared" si="2"/>
        <v>0</v>
      </c>
      <c r="K10" s="185">
        <f t="shared" si="2"/>
        <v>0</v>
      </c>
      <c r="L10" s="185">
        <f t="shared" si="2"/>
        <v>0</v>
      </c>
      <c r="M10" s="185">
        <f t="shared" si="2"/>
        <v>0</v>
      </c>
      <c r="N10" s="185">
        <f t="shared" si="2"/>
        <v>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5.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27.75" customHeight="1">
      <c r="A12" s="186" t="s">
        <v>175</v>
      </c>
      <c r="B12" s="187"/>
      <c r="C12" s="187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27.75" customHeight="1">
      <c r="A13" s="188" t="s">
        <v>176</v>
      </c>
      <c r="B13" s="189">
        <v>46143.0</v>
      </c>
      <c r="C13" s="189">
        <v>46174.0</v>
      </c>
      <c r="D13" s="189">
        <v>46204.0</v>
      </c>
      <c r="E13" s="189">
        <v>46235.0</v>
      </c>
      <c r="F13" s="189">
        <v>46266.0</v>
      </c>
      <c r="G13" s="189">
        <v>46296.0</v>
      </c>
      <c r="H13" s="189">
        <v>46327.0</v>
      </c>
      <c r="I13" s="189">
        <v>46357.0</v>
      </c>
      <c r="J13" s="189">
        <v>46388.0</v>
      </c>
      <c r="K13" s="189">
        <v>46419.0</v>
      </c>
      <c r="L13" s="189">
        <v>46447.0</v>
      </c>
      <c r="M13" s="189">
        <v>46478.0</v>
      </c>
      <c r="N13" s="188" t="s">
        <v>90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27.75" customHeight="1">
      <c r="A14" s="190" t="s">
        <v>184</v>
      </c>
      <c r="B14" s="191">
        <f t="shared" ref="B14:M14" si="3">SUMIFS($G$24:$G$93, $B$24:$B$93, $A14, $A$24:$A$93, "&gt;="&amp;B$13, $A$24:$A$93, "&lt;="&amp;EOMONTH(B$13, 0))</f>
        <v>22898.33333</v>
      </c>
      <c r="C14" s="191">
        <f t="shared" si="3"/>
        <v>4821.666667</v>
      </c>
      <c r="D14" s="191">
        <f t="shared" si="3"/>
        <v>0</v>
      </c>
      <c r="E14" s="191">
        <f t="shared" si="3"/>
        <v>0</v>
      </c>
      <c r="F14" s="191">
        <f t="shared" si="3"/>
        <v>0</v>
      </c>
      <c r="G14" s="191">
        <f t="shared" si="3"/>
        <v>0</v>
      </c>
      <c r="H14" s="191">
        <f t="shared" si="3"/>
        <v>0</v>
      </c>
      <c r="I14" s="191">
        <f t="shared" si="3"/>
        <v>0</v>
      </c>
      <c r="J14" s="191">
        <f t="shared" si="3"/>
        <v>0</v>
      </c>
      <c r="K14" s="191">
        <f t="shared" si="3"/>
        <v>0</v>
      </c>
      <c r="L14" s="191">
        <f t="shared" si="3"/>
        <v>0</v>
      </c>
      <c r="M14" s="191">
        <f t="shared" si="3"/>
        <v>0</v>
      </c>
      <c r="N14" s="192">
        <f t="shared" ref="N14:N19" si="5">SUM(B14:M14)</f>
        <v>27720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27.75" customHeight="1">
      <c r="A15" s="193"/>
      <c r="B15" s="194">
        <f t="shared" ref="B15:M15" si="4">SUMIFS($E$24:$E$93, $B$24:$B$93, $A14, $A$24:$A$93, "&gt;="&amp;B$13, $A$24:$A$93, "&lt;="&amp;EOMONTH(B$13, 0))</f>
        <v>0.8673611111</v>
      </c>
      <c r="C15" s="194">
        <f t="shared" si="4"/>
        <v>0.1826388889</v>
      </c>
      <c r="D15" s="194">
        <f t="shared" si="4"/>
        <v>0</v>
      </c>
      <c r="E15" s="194">
        <f t="shared" si="4"/>
        <v>0</v>
      </c>
      <c r="F15" s="194">
        <f t="shared" si="4"/>
        <v>0</v>
      </c>
      <c r="G15" s="194">
        <f t="shared" si="4"/>
        <v>0</v>
      </c>
      <c r="H15" s="194">
        <f t="shared" si="4"/>
        <v>0</v>
      </c>
      <c r="I15" s="194">
        <f t="shared" si="4"/>
        <v>0</v>
      </c>
      <c r="J15" s="194">
        <f t="shared" si="4"/>
        <v>0</v>
      </c>
      <c r="K15" s="194">
        <f t="shared" si="4"/>
        <v>0</v>
      </c>
      <c r="L15" s="194">
        <f t="shared" si="4"/>
        <v>0</v>
      </c>
      <c r="M15" s="194">
        <f t="shared" si="4"/>
        <v>0</v>
      </c>
      <c r="N15" s="195">
        <f t="shared" si="5"/>
        <v>1.05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27.75" customHeight="1">
      <c r="A16" s="196" t="s">
        <v>185</v>
      </c>
      <c r="B16" s="191">
        <f t="shared" ref="B16:M16" si="6">SUMIFS($G$24:$G$93, $B$24:$B$93, $A16, $A$24:$A$93, "&gt;="&amp;B$13, $A$24:$A$93, "&lt;="&amp;EOMONTH(B$13, 0))</f>
        <v>0</v>
      </c>
      <c r="C16" s="191">
        <f t="shared" si="6"/>
        <v>0</v>
      </c>
      <c r="D16" s="191">
        <f t="shared" si="6"/>
        <v>0</v>
      </c>
      <c r="E16" s="191">
        <f t="shared" si="6"/>
        <v>0</v>
      </c>
      <c r="F16" s="191">
        <f t="shared" si="6"/>
        <v>0</v>
      </c>
      <c r="G16" s="191">
        <f t="shared" si="6"/>
        <v>0</v>
      </c>
      <c r="H16" s="191">
        <f t="shared" si="6"/>
        <v>0</v>
      </c>
      <c r="I16" s="191">
        <f t="shared" si="6"/>
        <v>0</v>
      </c>
      <c r="J16" s="191">
        <f t="shared" si="6"/>
        <v>0</v>
      </c>
      <c r="K16" s="191">
        <f t="shared" si="6"/>
        <v>0</v>
      </c>
      <c r="L16" s="191">
        <f t="shared" si="6"/>
        <v>0</v>
      </c>
      <c r="M16" s="191">
        <f t="shared" si="6"/>
        <v>0</v>
      </c>
      <c r="N16" s="192">
        <f t="shared" si="5"/>
        <v>0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27.75" customHeight="1">
      <c r="A17" s="193"/>
      <c r="B17" s="194">
        <f t="shared" ref="B17:M17" si="7">SUMIFS($E$24:$E$93, $B$24:$B$93, $A16, $A$24:$A$93, "&gt;="&amp;B$13, $A$24:$A$93, "&lt;="&amp;EOMONTH(B$13, 0))</f>
        <v>0.25</v>
      </c>
      <c r="C17" s="194">
        <f t="shared" si="7"/>
        <v>0.0625</v>
      </c>
      <c r="D17" s="194">
        <f t="shared" si="7"/>
        <v>0</v>
      </c>
      <c r="E17" s="194">
        <f t="shared" si="7"/>
        <v>0</v>
      </c>
      <c r="F17" s="194">
        <f t="shared" si="7"/>
        <v>0</v>
      </c>
      <c r="G17" s="194">
        <f t="shared" si="7"/>
        <v>0</v>
      </c>
      <c r="H17" s="194">
        <f t="shared" si="7"/>
        <v>0</v>
      </c>
      <c r="I17" s="194">
        <f t="shared" si="7"/>
        <v>0</v>
      </c>
      <c r="J17" s="194">
        <f t="shared" si="7"/>
        <v>0</v>
      </c>
      <c r="K17" s="194">
        <f t="shared" si="7"/>
        <v>0</v>
      </c>
      <c r="L17" s="194">
        <f t="shared" si="7"/>
        <v>0</v>
      </c>
      <c r="M17" s="194">
        <f t="shared" si="7"/>
        <v>0</v>
      </c>
      <c r="N17" s="195">
        <f t="shared" si="5"/>
        <v>0.3125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27.75" customHeight="1">
      <c r="A18" s="197"/>
      <c r="B18" s="198"/>
      <c r="C18" s="198"/>
      <c r="D18" s="198"/>
      <c r="E18" s="198"/>
      <c r="F18" s="198"/>
      <c r="G18" s="198"/>
      <c r="H18" s="198"/>
      <c r="I18" s="198"/>
      <c r="J18" s="198"/>
      <c r="K18" s="198"/>
      <c r="L18" s="198"/>
      <c r="M18" s="198"/>
      <c r="N18" s="192">
        <f t="shared" si="5"/>
        <v>0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27.75" customHeight="1">
      <c r="A19" s="197"/>
      <c r="B19" s="198"/>
      <c r="C19" s="198"/>
      <c r="D19" s="198"/>
      <c r="E19" s="198"/>
      <c r="F19" s="198"/>
      <c r="G19" s="198"/>
      <c r="H19" s="198"/>
      <c r="I19" s="198"/>
      <c r="J19" s="198"/>
      <c r="K19" s="198"/>
      <c r="L19" s="198"/>
      <c r="M19" s="198"/>
      <c r="N19" s="195">
        <f t="shared" si="5"/>
        <v>0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27.75" customHeight="1">
      <c r="A20" s="199" t="s">
        <v>183</v>
      </c>
      <c r="B20" s="200">
        <f t="shared" ref="B20:M20" si="8">SUM(B14:B19)</f>
        <v>22899.45069</v>
      </c>
      <c r="C20" s="200">
        <f t="shared" si="8"/>
        <v>4821.911806</v>
      </c>
      <c r="D20" s="200">
        <f t="shared" si="8"/>
        <v>0</v>
      </c>
      <c r="E20" s="200">
        <f t="shared" si="8"/>
        <v>0</v>
      </c>
      <c r="F20" s="200">
        <f t="shared" si="8"/>
        <v>0</v>
      </c>
      <c r="G20" s="200">
        <f t="shared" si="8"/>
        <v>0</v>
      </c>
      <c r="H20" s="200">
        <f t="shared" si="8"/>
        <v>0</v>
      </c>
      <c r="I20" s="200">
        <f t="shared" si="8"/>
        <v>0</v>
      </c>
      <c r="J20" s="200">
        <f t="shared" si="8"/>
        <v>0</v>
      </c>
      <c r="K20" s="200">
        <f t="shared" si="8"/>
        <v>0</v>
      </c>
      <c r="L20" s="200">
        <f t="shared" si="8"/>
        <v>0</v>
      </c>
      <c r="M20" s="200">
        <f t="shared" si="8"/>
        <v>0</v>
      </c>
      <c r="N20" s="200">
        <f>SUM(B20:C20)</f>
        <v>27721.3625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27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27.75" customHeight="1">
      <c r="A22" s="201" t="s">
        <v>186</v>
      </c>
      <c r="B22" s="2"/>
      <c r="C22" s="2"/>
      <c r="D22" s="2"/>
      <c r="E22" s="2"/>
      <c r="F22" s="2"/>
      <c r="G22" s="2"/>
      <c r="H22" s="39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25.5" customHeight="1">
      <c r="A23" s="202" t="s">
        <v>187</v>
      </c>
      <c r="B23" s="202" t="s">
        <v>188</v>
      </c>
      <c r="C23" s="202" t="s">
        <v>189</v>
      </c>
      <c r="D23" s="202" t="s">
        <v>190</v>
      </c>
      <c r="E23" s="202" t="s">
        <v>191</v>
      </c>
      <c r="F23" s="202" t="s">
        <v>192</v>
      </c>
      <c r="G23" s="202" t="s">
        <v>193</v>
      </c>
      <c r="H23" s="202" t="s">
        <v>194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21.0" customHeight="1">
      <c r="A24" s="203">
        <v>46143.0</v>
      </c>
      <c r="B24" s="204" t="s">
        <v>184</v>
      </c>
      <c r="C24" s="205">
        <v>0.4166666666666667</v>
      </c>
      <c r="D24" s="205">
        <v>0.5</v>
      </c>
      <c r="E24" s="206">
        <f t="shared" ref="E24:E93" si="9">IFERROR(TIMEVALUE(D24)-TIMEVALUE(C24), 0)</f>
        <v>0.08333333333</v>
      </c>
      <c r="F24" s="207">
        <f t="shared" ref="F24:F93" si="10">IF(B24="岡村",0,IF(B24&lt;&gt;"",1100,0))</f>
        <v>1100</v>
      </c>
      <c r="G24" s="208">
        <f t="shared" ref="G24:G93" si="11">E24*24*F24</f>
        <v>2200</v>
      </c>
      <c r="H24" s="209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21.0" customHeight="1">
      <c r="A25" s="203">
        <v>46146.0</v>
      </c>
      <c r="B25" s="204" t="s">
        <v>184</v>
      </c>
      <c r="C25" s="205">
        <v>0.4826388888888889</v>
      </c>
      <c r="D25" s="205">
        <v>0.5833333333333334</v>
      </c>
      <c r="E25" s="206">
        <f t="shared" si="9"/>
        <v>0.1006944444</v>
      </c>
      <c r="F25" s="207">
        <f t="shared" si="10"/>
        <v>1100</v>
      </c>
      <c r="G25" s="208">
        <f t="shared" si="11"/>
        <v>2658.333333</v>
      </c>
      <c r="H25" s="209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21.0" customHeight="1">
      <c r="A26" s="203">
        <v>46149.0</v>
      </c>
      <c r="B26" s="204" t="s">
        <v>185</v>
      </c>
      <c r="C26" s="205">
        <v>0.625</v>
      </c>
      <c r="D26" s="205">
        <v>0.6875</v>
      </c>
      <c r="E26" s="206">
        <f t="shared" si="9"/>
        <v>0.0625</v>
      </c>
      <c r="F26" s="207">
        <f t="shared" si="10"/>
        <v>0</v>
      </c>
      <c r="G26" s="208">
        <f t="shared" si="11"/>
        <v>0</v>
      </c>
      <c r="H26" s="209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21.0" customHeight="1">
      <c r="A27" s="203">
        <v>46150.0</v>
      </c>
      <c r="B27" s="204" t="s">
        <v>184</v>
      </c>
      <c r="C27" s="210">
        <v>0.5833333333333334</v>
      </c>
      <c r="D27" s="205">
        <v>0.6770833333333334</v>
      </c>
      <c r="E27" s="206">
        <f t="shared" si="9"/>
        <v>0.09375</v>
      </c>
      <c r="F27" s="207">
        <f t="shared" si="10"/>
        <v>1100</v>
      </c>
      <c r="G27" s="208">
        <f t="shared" si="11"/>
        <v>2475</v>
      </c>
      <c r="H27" s="209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21.0" customHeight="1">
      <c r="A28" s="203">
        <v>46153.0</v>
      </c>
      <c r="B28" s="204" t="s">
        <v>184</v>
      </c>
      <c r="C28" s="210">
        <v>0.6048611111111111</v>
      </c>
      <c r="D28" s="205">
        <v>0.6861111111111111</v>
      </c>
      <c r="E28" s="206">
        <f t="shared" si="9"/>
        <v>0.08125</v>
      </c>
      <c r="F28" s="207">
        <f t="shared" si="10"/>
        <v>1100</v>
      </c>
      <c r="G28" s="208">
        <f t="shared" si="11"/>
        <v>2145</v>
      </c>
      <c r="H28" s="209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21.0" customHeight="1">
      <c r="A29" s="203">
        <v>46155.0</v>
      </c>
      <c r="B29" s="204" t="s">
        <v>185</v>
      </c>
      <c r="C29" s="205">
        <v>0.625</v>
      </c>
      <c r="D29" s="205">
        <v>0.6875</v>
      </c>
      <c r="E29" s="206">
        <f t="shared" si="9"/>
        <v>0.0625</v>
      </c>
      <c r="F29" s="207">
        <f t="shared" si="10"/>
        <v>0</v>
      </c>
      <c r="G29" s="208">
        <f t="shared" si="11"/>
        <v>0</v>
      </c>
      <c r="H29" s="209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21.0" customHeight="1">
      <c r="A30" s="203">
        <v>46157.0</v>
      </c>
      <c r="B30" s="204" t="s">
        <v>184</v>
      </c>
      <c r="C30" s="205">
        <v>0.4131944444444444</v>
      </c>
      <c r="D30" s="205">
        <v>0.5</v>
      </c>
      <c r="E30" s="206">
        <f t="shared" si="9"/>
        <v>0.08680555556</v>
      </c>
      <c r="F30" s="207">
        <f t="shared" si="10"/>
        <v>1100</v>
      </c>
      <c r="G30" s="208">
        <f t="shared" si="11"/>
        <v>2291.666667</v>
      </c>
      <c r="H30" s="209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21.0" customHeight="1">
      <c r="A31" s="203">
        <v>46160.0</v>
      </c>
      <c r="B31" s="204" t="s">
        <v>184</v>
      </c>
      <c r="C31" s="205">
        <v>0.4131944444444444</v>
      </c>
      <c r="D31" s="205">
        <v>0.5</v>
      </c>
      <c r="E31" s="206">
        <f t="shared" si="9"/>
        <v>0.08680555556</v>
      </c>
      <c r="F31" s="207">
        <f t="shared" si="10"/>
        <v>1100</v>
      </c>
      <c r="G31" s="208">
        <f t="shared" si="11"/>
        <v>2291.666667</v>
      </c>
      <c r="H31" s="209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21.0" customHeight="1">
      <c r="A32" s="203">
        <v>46163.0</v>
      </c>
      <c r="B32" s="204" t="s">
        <v>184</v>
      </c>
      <c r="C32" s="205">
        <v>0.4131944444444444</v>
      </c>
      <c r="D32" s="205">
        <v>0.49930555555555556</v>
      </c>
      <c r="E32" s="206">
        <f t="shared" si="9"/>
        <v>0.08611111111</v>
      </c>
      <c r="F32" s="207">
        <f t="shared" si="10"/>
        <v>1100</v>
      </c>
      <c r="G32" s="208">
        <f t="shared" si="11"/>
        <v>2273.333333</v>
      </c>
      <c r="H32" s="209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21.0" customHeight="1">
      <c r="A33" s="203">
        <v>46164.0</v>
      </c>
      <c r="B33" s="204" t="s">
        <v>185</v>
      </c>
      <c r="C33" s="205">
        <v>0.625</v>
      </c>
      <c r="D33" s="205">
        <v>0.6875</v>
      </c>
      <c r="E33" s="206">
        <f t="shared" si="9"/>
        <v>0.0625</v>
      </c>
      <c r="F33" s="207">
        <f t="shared" si="10"/>
        <v>0</v>
      </c>
      <c r="G33" s="208">
        <f t="shared" si="11"/>
        <v>0</v>
      </c>
      <c r="H33" s="209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21.0" customHeight="1">
      <c r="A34" s="203">
        <v>46167.0</v>
      </c>
      <c r="B34" s="204" t="s">
        <v>184</v>
      </c>
      <c r="C34" s="205">
        <v>0.6041666666666666</v>
      </c>
      <c r="D34" s="205">
        <v>0.6916666666666667</v>
      </c>
      <c r="E34" s="206">
        <f t="shared" si="9"/>
        <v>0.0875</v>
      </c>
      <c r="F34" s="207">
        <f t="shared" si="10"/>
        <v>1100</v>
      </c>
      <c r="G34" s="208">
        <f t="shared" si="11"/>
        <v>2310</v>
      </c>
      <c r="H34" s="209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21.0" customHeight="1">
      <c r="A35" s="203">
        <v>46169.0</v>
      </c>
      <c r="B35" s="204" t="s">
        <v>185</v>
      </c>
      <c r="C35" s="205">
        <v>0.625</v>
      </c>
      <c r="D35" s="205">
        <v>0.6875</v>
      </c>
      <c r="E35" s="206">
        <f t="shared" si="9"/>
        <v>0.0625</v>
      </c>
      <c r="F35" s="207">
        <f t="shared" si="10"/>
        <v>0</v>
      </c>
      <c r="G35" s="208">
        <f t="shared" si="11"/>
        <v>0</v>
      </c>
      <c r="H35" s="209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21.0" customHeight="1">
      <c r="A36" s="203">
        <v>46171.0</v>
      </c>
      <c r="B36" s="204" t="s">
        <v>184</v>
      </c>
      <c r="C36" s="205">
        <v>0.3923611111111111</v>
      </c>
      <c r="D36" s="205">
        <v>0.47847222222222224</v>
      </c>
      <c r="E36" s="206">
        <f t="shared" si="9"/>
        <v>0.08611111111</v>
      </c>
      <c r="F36" s="207">
        <f t="shared" si="10"/>
        <v>1100</v>
      </c>
      <c r="G36" s="208">
        <f t="shared" si="11"/>
        <v>2273.333333</v>
      </c>
      <c r="H36" s="209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21.0" customHeight="1">
      <c r="A37" s="203">
        <v>46173.0</v>
      </c>
      <c r="B37" s="204" t="s">
        <v>184</v>
      </c>
      <c r="C37" s="205">
        <v>0.4798611111111111</v>
      </c>
      <c r="D37" s="205">
        <v>0.5548611111111111</v>
      </c>
      <c r="E37" s="206">
        <f t="shared" si="9"/>
        <v>0.075</v>
      </c>
      <c r="F37" s="207">
        <f t="shared" si="10"/>
        <v>1100</v>
      </c>
      <c r="G37" s="208">
        <f t="shared" si="11"/>
        <v>1980</v>
      </c>
      <c r="H37" s="209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21.0" customHeight="1">
      <c r="A38" s="203">
        <v>46175.0</v>
      </c>
      <c r="B38" s="204" t="s">
        <v>184</v>
      </c>
      <c r="C38" s="205">
        <v>0.5388888888888889</v>
      </c>
      <c r="D38" s="205">
        <v>0.63125</v>
      </c>
      <c r="E38" s="206">
        <f t="shared" si="9"/>
        <v>0.09236111111</v>
      </c>
      <c r="F38" s="207">
        <f t="shared" si="10"/>
        <v>1100</v>
      </c>
      <c r="G38" s="208">
        <f t="shared" si="11"/>
        <v>2438.333333</v>
      </c>
      <c r="H38" s="209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21.0" customHeight="1">
      <c r="A39" s="203">
        <v>46176.0</v>
      </c>
      <c r="B39" s="204" t="s">
        <v>185</v>
      </c>
      <c r="C39" s="205">
        <v>0.8333333333333334</v>
      </c>
      <c r="D39" s="205">
        <v>0.8958333333333334</v>
      </c>
      <c r="E39" s="206">
        <f t="shared" si="9"/>
        <v>0.0625</v>
      </c>
      <c r="F39" s="207">
        <f t="shared" si="10"/>
        <v>0</v>
      </c>
      <c r="G39" s="208">
        <f t="shared" si="11"/>
        <v>0</v>
      </c>
      <c r="H39" s="209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21.0" customHeight="1">
      <c r="A40" s="203">
        <v>46178.0</v>
      </c>
      <c r="B40" s="204" t="s">
        <v>184</v>
      </c>
      <c r="C40" s="205">
        <v>0.33194444444444443</v>
      </c>
      <c r="D40" s="205">
        <v>0.4222222222222222</v>
      </c>
      <c r="E40" s="206">
        <f t="shared" si="9"/>
        <v>0.09027777778</v>
      </c>
      <c r="F40" s="207">
        <f t="shared" si="10"/>
        <v>1100</v>
      </c>
      <c r="G40" s="208">
        <f t="shared" si="11"/>
        <v>2383.333333</v>
      </c>
      <c r="H40" s="209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21.0" customHeight="1">
      <c r="A41" s="211"/>
      <c r="B41" s="212"/>
      <c r="C41" s="213"/>
      <c r="D41" s="213"/>
      <c r="E41" s="206">
        <f t="shared" si="9"/>
        <v>0</v>
      </c>
      <c r="F41" s="207">
        <f t="shared" si="10"/>
        <v>0</v>
      </c>
      <c r="G41" s="208">
        <f t="shared" si="11"/>
        <v>0</v>
      </c>
      <c r="H41" s="209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21.0" customHeight="1">
      <c r="A42" s="211"/>
      <c r="B42" s="212"/>
      <c r="C42" s="213"/>
      <c r="D42" s="213"/>
      <c r="E42" s="206">
        <f t="shared" si="9"/>
        <v>0</v>
      </c>
      <c r="F42" s="207">
        <f t="shared" si="10"/>
        <v>0</v>
      </c>
      <c r="G42" s="208">
        <f t="shared" si="11"/>
        <v>0</v>
      </c>
      <c r="H42" s="209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21.0" customHeight="1">
      <c r="A43" s="211"/>
      <c r="B43" s="212"/>
      <c r="C43" s="213"/>
      <c r="D43" s="213"/>
      <c r="E43" s="206">
        <f t="shared" si="9"/>
        <v>0</v>
      </c>
      <c r="F43" s="207">
        <f t="shared" si="10"/>
        <v>0</v>
      </c>
      <c r="G43" s="208">
        <f t="shared" si="11"/>
        <v>0</v>
      </c>
      <c r="H43" s="209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21.0" customHeight="1">
      <c r="A44" s="211"/>
      <c r="B44" s="212"/>
      <c r="C44" s="213"/>
      <c r="D44" s="213"/>
      <c r="E44" s="206">
        <f t="shared" si="9"/>
        <v>0</v>
      </c>
      <c r="F44" s="207">
        <f t="shared" si="10"/>
        <v>0</v>
      </c>
      <c r="G44" s="208">
        <f t="shared" si="11"/>
        <v>0</v>
      </c>
      <c r="H44" s="209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21.0" customHeight="1">
      <c r="A45" s="211"/>
      <c r="B45" s="212"/>
      <c r="C45" s="213"/>
      <c r="D45" s="213"/>
      <c r="E45" s="206">
        <f t="shared" si="9"/>
        <v>0</v>
      </c>
      <c r="F45" s="207">
        <f t="shared" si="10"/>
        <v>0</v>
      </c>
      <c r="G45" s="208">
        <f t="shared" si="11"/>
        <v>0</v>
      </c>
      <c r="H45" s="209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21.0" customHeight="1">
      <c r="A46" s="211"/>
      <c r="B46" s="212"/>
      <c r="C46" s="213"/>
      <c r="D46" s="213"/>
      <c r="E46" s="206">
        <f t="shared" si="9"/>
        <v>0</v>
      </c>
      <c r="F46" s="207">
        <f t="shared" si="10"/>
        <v>0</v>
      </c>
      <c r="G46" s="208">
        <f t="shared" si="11"/>
        <v>0</v>
      </c>
      <c r="H46" s="209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21.0" customHeight="1">
      <c r="A47" s="211"/>
      <c r="B47" s="212"/>
      <c r="C47" s="213"/>
      <c r="D47" s="213"/>
      <c r="E47" s="206">
        <f t="shared" si="9"/>
        <v>0</v>
      </c>
      <c r="F47" s="207">
        <f t="shared" si="10"/>
        <v>0</v>
      </c>
      <c r="G47" s="208">
        <f t="shared" si="11"/>
        <v>0</v>
      </c>
      <c r="H47" s="209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21.0" customHeight="1">
      <c r="A48" s="211"/>
      <c r="B48" s="212"/>
      <c r="C48" s="213"/>
      <c r="D48" s="213"/>
      <c r="E48" s="206">
        <f t="shared" si="9"/>
        <v>0</v>
      </c>
      <c r="F48" s="207">
        <f t="shared" si="10"/>
        <v>0</v>
      </c>
      <c r="G48" s="208">
        <f t="shared" si="11"/>
        <v>0</v>
      </c>
      <c r="H48" s="209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21.0" customHeight="1">
      <c r="A49" s="211"/>
      <c r="B49" s="212"/>
      <c r="C49" s="213"/>
      <c r="D49" s="213"/>
      <c r="E49" s="206">
        <f t="shared" si="9"/>
        <v>0</v>
      </c>
      <c r="F49" s="207">
        <f t="shared" si="10"/>
        <v>0</v>
      </c>
      <c r="G49" s="208">
        <f t="shared" si="11"/>
        <v>0</v>
      </c>
      <c r="H49" s="209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21.0" customHeight="1">
      <c r="A50" s="211"/>
      <c r="B50" s="212"/>
      <c r="C50" s="213"/>
      <c r="D50" s="213"/>
      <c r="E50" s="206">
        <f t="shared" si="9"/>
        <v>0</v>
      </c>
      <c r="F50" s="207">
        <f t="shared" si="10"/>
        <v>0</v>
      </c>
      <c r="G50" s="208">
        <f t="shared" si="11"/>
        <v>0</v>
      </c>
      <c r="H50" s="209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21.0" customHeight="1">
      <c r="A51" s="211"/>
      <c r="B51" s="212"/>
      <c r="C51" s="213"/>
      <c r="D51" s="213"/>
      <c r="E51" s="206">
        <f t="shared" si="9"/>
        <v>0</v>
      </c>
      <c r="F51" s="207">
        <f t="shared" si="10"/>
        <v>0</v>
      </c>
      <c r="G51" s="208">
        <f t="shared" si="11"/>
        <v>0</v>
      </c>
      <c r="H51" s="209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21.0" customHeight="1">
      <c r="A52" s="211"/>
      <c r="B52" s="212"/>
      <c r="C52" s="213"/>
      <c r="D52" s="213"/>
      <c r="E52" s="206">
        <f t="shared" si="9"/>
        <v>0</v>
      </c>
      <c r="F52" s="207">
        <f t="shared" si="10"/>
        <v>0</v>
      </c>
      <c r="G52" s="208">
        <f t="shared" si="11"/>
        <v>0</v>
      </c>
      <c r="H52" s="209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21.0" customHeight="1">
      <c r="A53" s="211"/>
      <c r="B53" s="212"/>
      <c r="C53" s="213"/>
      <c r="D53" s="213"/>
      <c r="E53" s="206">
        <f t="shared" si="9"/>
        <v>0</v>
      </c>
      <c r="F53" s="207">
        <f t="shared" si="10"/>
        <v>0</v>
      </c>
      <c r="G53" s="208">
        <f t="shared" si="11"/>
        <v>0</v>
      </c>
      <c r="H53" s="209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21.0" customHeight="1">
      <c r="A54" s="211"/>
      <c r="B54" s="212"/>
      <c r="C54" s="213"/>
      <c r="D54" s="213"/>
      <c r="E54" s="206">
        <f t="shared" si="9"/>
        <v>0</v>
      </c>
      <c r="F54" s="207">
        <f t="shared" si="10"/>
        <v>0</v>
      </c>
      <c r="G54" s="208">
        <f t="shared" si="11"/>
        <v>0</v>
      </c>
      <c r="H54" s="209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21.0" customHeight="1">
      <c r="A55" s="211"/>
      <c r="B55" s="212"/>
      <c r="C55" s="213"/>
      <c r="D55" s="213"/>
      <c r="E55" s="206">
        <f t="shared" si="9"/>
        <v>0</v>
      </c>
      <c r="F55" s="207">
        <f t="shared" si="10"/>
        <v>0</v>
      </c>
      <c r="G55" s="208">
        <f t="shared" si="11"/>
        <v>0</v>
      </c>
      <c r="H55" s="209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21.0" customHeight="1">
      <c r="A56" s="211"/>
      <c r="B56" s="212"/>
      <c r="C56" s="213"/>
      <c r="D56" s="213"/>
      <c r="E56" s="206">
        <f t="shared" si="9"/>
        <v>0</v>
      </c>
      <c r="F56" s="207">
        <f t="shared" si="10"/>
        <v>0</v>
      </c>
      <c r="G56" s="208">
        <f t="shared" si="11"/>
        <v>0</v>
      </c>
      <c r="H56" s="209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21.0" customHeight="1">
      <c r="A57" s="211"/>
      <c r="B57" s="212"/>
      <c r="C57" s="213"/>
      <c r="D57" s="213"/>
      <c r="E57" s="206">
        <f t="shared" si="9"/>
        <v>0</v>
      </c>
      <c r="F57" s="207">
        <f t="shared" si="10"/>
        <v>0</v>
      </c>
      <c r="G57" s="208">
        <f t="shared" si="11"/>
        <v>0</v>
      </c>
      <c r="H57" s="209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21.0" customHeight="1">
      <c r="A58" s="211"/>
      <c r="B58" s="212"/>
      <c r="C58" s="213"/>
      <c r="D58" s="213"/>
      <c r="E58" s="206">
        <f t="shared" si="9"/>
        <v>0</v>
      </c>
      <c r="F58" s="207">
        <f t="shared" si="10"/>
        <v>0</v>
      </c>
      <c r="G58" s="208">
        <f t="shared" si="11"/>
        <v>0</v>
      </c>
      <c r="H58" s="209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21.0" customHeight="1">
      <c r="A59" s="211"/>
      <c r="B59" s="212"/>
      <c r="C59" s="213"/>
      <c r="D59" s="213"/>
      <c r="E59" s="206">
        <f t="shared" si="9"/>
        <v>0</v>
      </c>
      <c r="F59" s="207">
        <f t="shared" si="10"/>
        <v>0</v>
      </c>
      <c r="G59" s="208">
        <f t="shared" si="11"/>
        <v>0</v>
      </c>
      <c r="H59" s="209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21.0" customHeight="1">
      <c r="A60" s="211"/>
      <c r="B60" s="212"/>
      <c r="C60" s="213"/>
      <c r="D60" s="213"/>
      <c r="E60" s="206">
        <f t="shared" si="9"/>
        <v>0</v>
      </c>
      <c r="F60" s="207">
        <f t="shared" si="10"/>
        <v>0</v>
      </c>
      <c r="G60" s="208">
        <f t="shared" si="11"/>
        <v>0</v>
      </c>
      <c r="H60" s="209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21.0" customHeight="1">
      <c r="A61" s="211"/>
      <c r="B61" s="212"/>
      <c r="C61" s="213"/>
      <c r="D61" s="213"/>
      <c r="E61" s="206">
        <f t="shared" si="9"/>
        <v>0</v>
      </c>
      <c r="F61" s="207">
        <f t="shared" si="10"/>
        <v>0</v>
      </c>
      <c r="G61" s="208">
        <f t="shared" si="11"/>
        <v>0</v>
      </c>
      <c r="H61" s="209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21.0" customHeight="1">
      <c r="A62" s="211"/>
      <c r="B62" s="212"/>
      <c r="C62" s="213"/>
      <c r="D62" s="213"/>
      <c r="E62" s="206">
        <f t="shared" si="9"/>
        <v>0</v>
      </c>
      <c r="F62" s="207">
        <f t="shared" si="10"/>
        <v>0</v>
      </c>
      <c r="G62" s="208">
        <f t="shared" si="11"/>
        <v>0</v>
      </c>
      <c r="H62" s="209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21.0" customHeight="1">
      <c r="A63" s="211"/>
      <c r="B63" s="212"/>
      <c r="C63" s="213"/>
      <c r="D63" s="213"/>
      <c r="E63" s="206">
        <f t="shared" si="9"/>
        <v>0</v>
      </c>
      <c r="F63" s="207">
        <f t="shared" si="10"/>
        <v>0</v>
      </c>
      <c r="G63" s="208">
        <f t="shared" si="11"/>
        <v>0</v>
      </c>
      <c r="H63" s="209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21.0" customHeight="1">
      <c r="A64" s="211"/>
      <c r="B64" s="212"/>
      <c r="C64" s="213"/>
      <c r="D64" s="213"/>
      <c r="E64" s="206">
        <f t="shared" si="9"/>
        <v>0</v>
      </c>
      <c r="F64" s="207">
        <f t="shared" si="10"/>
        <v>0</v>
      </c>
      <c r="G64" s="208">
        <f t="shared" si="11"/>
        <v>0</v>
      </c>
      <c r="H64" s="209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21.0" customHeight="1">
      <c r="A65" s="211"/>
      <c r="B65" s="212"/>
      <c r="C65" s="213"/>
      <c r="D65" s="213"/>
      <c r="E65" s="206">
        <f t="shared" si="9"/>
        <v>0</v>
      </c>
      <c r="F65" s="207">
        <f t="shared" si="10"/>
        <v>0</v>
      </c>
      <c r="G65" s="208">
        <f t="shared" si="11"/>
        <v>0</v>
      </c>
      <c r="H65" s="209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21.0" customHeight="1">
      <c r="A66" s="211"/>
      <c r="B66" s="212"/>
      <c r="C66" s="213"/>
      <c r="D66" s="213"/>
      <c r="E66" s="206">
        <f t="shared" si="9"/>
        <v>0</v>
      </c>
      <c r="F66" s="207">
        <f t="shared" si="10"/>
        <v>0</v>
      </c>
      <c r="G66" s="208">
        <f t="shared" si="11"/>
        <v>0</v>
      </c>
      <c r="H66" s="209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21.0" customHeight="1">
      <c r="A67" s="211"/>
      <c r="B67" s="212"/>
      <c r="C67" s="213"/>
      <c r="D67" s="213"/>
      <c r="E67" s="206">
        <f t="shared" si="9"/>
        <v>0</v>
      </c>
      <c r="F67" s="207">
        <f t="shared" si="10"/>
        <v>0</v>
      </c>
      <c r="G67" s="208">
        <f t="shared" si="11"/>
        <v>0</v>
      </c>
      <c r="H67" s="209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21.0" customHeight="1">
      <c r="A68" s="211"/>
      <c r="B68" s="212"/>
      <c r="C68" s="213"/>
      <c r="D68" s="213"/>
      <c r="E68" s="206">
        <f t="shared" si="9"/>
        <v>0</v>
      </c>
      <c r="F68" s="207">
        <f t="shared" si="10"/>
        <v>0</v>
      </c>
      <c r="G68" s="208">
        <f t="shared" si="11"/>
        <v>0</v>
      </c>
      <c r="H68" s="209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21.0" customHeight="1">
      <c r="A69" s="211"/>
      <c r="B69" s="212"/>
      <c r="C69" s="213"/>
      <c r="D69" s="213"/>
      <c r="E69" s="206">
        <f t="shared" si="9"/>
        <v>0</v>
      </c>
      <c r="F69" s="207">
        <f t="shared" si="10"/>
        <v>0</v>
      </c>
      <c r="G69" s="208">
        <f t="shared" si="11"/>
        <v>0</v>
      </c>
      <c r="H69" s="209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21.0" customHeight="1">
      <c r="A70" s="211"/>
      <c r="B70" s="212"/>
      <c r="C70" s="213"/>
      <c r="D70" s="213"/>
      <c r="E70" s="206">
        <f t="shared" si="9"/>
        <v>0</v>
      </c>
      <c r="F70" s="207">
        <f t="shared" si="10"/>
        <v>0</v>
      </c>
      <c r="G70" s="208">
        <f t="shared" si="11"/>
        <v>0</v>
      </c>
      <c r="H70" s="209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21.0" customHeight="1">
      <c r="A71" s="211"/>
      <c r="B71" s="212"/>
      <c r="C71" s="213"/>
      <c r="D71" s="213"/>
      <c r="E71" s="206">
        <f t="shared" si="9"/>
        <v>0</v>
      </c>
      <c r="F71" s="207">
        <f t="shared" si="10"/>
        <v>0</v>
      </c>
      <c r="G71" s="208">
        <f t="shared" si="11"/>
        <v>0</v>
      </c>
      <c r="H71" s="209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21.0" customHeight="1">
      <c r="A72" s="211"/>
      <c r="B72" s="212"/>
      <c r="C72" s="213"/>
      <c r="D72" s="213"/>
      <c r="E72" s="206">
        <f t="shared" si="9"/>
        <v>0</v>
      </c>
      <c r="F72" s="207">
        <f t="shared" si="10"/>
        <v>0</v>
      </c>
      <c r="G72" s="208">
        <f t="shared" si="11"/>
        <v>0</v>
      </c>
      <c r="H72" s="209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21.0" customHeight="1">
      <c r="A73" s="211"/>
      <c r="B73" s="212"/>
      <c r="C73" s="213"/>
      <c r="D73" s="213"/>
      <c r="E73" s="206">
        <f t="shared" si="9"/>
        <v>0</v>
      </c>
      <c r="F73" s="207">
        <f t="shared" si="10"/>
        <v>0</v>
      </c>
      <c r="G73" s="208">
        <f t="shared" si="11"/>
        <v>0</v>
      </c>
      <c r="H73" s="209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21.0" customHeight="1">
      <c r="A74" s="211"/>
      <c r="B74" s="212"/>
      <c r="C74" s="213"/>
      <c r="D74" s="213"/>
      <c r="E74" s="206">
        <f t="shared" si="9"/>
        <v>0</v>
      </c>
      <c r="F74" s="207">
        <f t="shared" si="10"/>
        <v>0</v>
      </c>
      <c r="G74" s="208">
        <f t="shared" si="11"/>
        <v>0</v>
      </c>
      <c r="H74" s="209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21.0" customHeight="1">
      <c r="A75" s="211"/>
      <c r="B75" s="212"/>
      <c r="C75" s="213"/>
      <c r="D75" s="213"/>
      <c r="E75" s="206">
        <f t="shared" si="9"/>
        <v>0</v>
      </c>
      <c r="F75" s="207">
        <f t="shared" si="10"/>
        <v>0</v>
      </c>
      <c r="G75" s="208">
        <f t="shared" si="11"/>
        <v>0</v>
      </c>
      <c r="H75" s="209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21.0" customHeight="1">
      <c r="A76" s="211"/>
      <c r="B76" s="212"/>
      <c r="C76" s="213"/>
      <c r="D76" s="213"/>
      <c r="E76" s="206">
        <f t="shared" si="9"/>
        <v>0</v>
      </c>
      <c r="F76" s="207">
        <f t="shared" si="10"/>
        <v>0</v>
      </c>
      <c r="G76" s="208">
        <f t="shared" si="11"/>
        <v>0</v>
      </c>
      <c r="H76" s="209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21.0" customHeight="1">
      <c r="A77" s="211"/>
      <c r="B77" s="212"/>
      <c r="C77" s="213"/>
      <c r="D77" s="213"/>
      <c r="E77" s="206">
        <f t="shared" si="9"/>
        <v>0</v>
      </c>
      <c r="F77" s="207">
        <f t="shared" si="10"/>
        <v>0</v>
      </c>
      <c r="G77" s="208">
        <f t="shared" si="11"/>
        <v>0</v>
      </c>
      <c r="H77" s="209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21.0" customHeight="1">
      <c r="A78" s="211"/>
      <c r="B78" s="212"/>
      <c r="C78" s="213"/>
      <c r="D78" s="213"/>
      <c r="E78" s="206">
        <f t="shared" si="9"/>
        <v>0</v>
      </c>
      <c r="F78" s="207">
        <f t="shared" si="10"/>
        <v>0</v>
      </c>
      <c r="G78" s="208">
        <f t="shared" si="11"/>
        <v>0</v>
      </c>
      <c r="H78" s="209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21.0" customHeight="1">
      <c r="A79" s="211"/>
      <c r="B79" s="212"/>
      <c r="C79" s="213"/>
      <c r="D79" s="213"/>
      <c r="E79" s="206">
        <f t="shared" si="9"/>
        <v>0</v>
      </c>
      <c r="F79" s="207">
        <f t="shared" si="10"/>
        <v>0</v>
      </c>
      <c r="G79" s="208">
        <f t="shared" si="11"/>
        <v>0</v>
      </c>
      <c r="H79" s="209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21.0" customHeight="1">
      <c r="A80" s="211"/>
      <c r="B80" s="212"/>
      <c r="C80" s="213"/>
      <c r="D80" s="213"/>
      <c r="E80" s="206">
        <f t="shared" si="9"/>
        <v>0</v>
      </c>
      <c r="F80" s="207">
        <f t="shared" si="10"/>
        <v>0</v>
      </c>
      <c r="G80" s="208">
        <f t="shared" si="11"/>
        <v>0</v>
      </c>
      <c r="H80" s="209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21.0" customHeight="1">
      <c r="A81" s="211"/>
      <c r="B81" s="212"/>
      <c r="C81" s="213"/>
      <c r="D81" s="213"/>
      <c r="E81" s="206">
        <f t="shared" si="9"/>
        <v>0</v>
      </c>
      <c r="F81" s="207">
        <f t="shared" si="10"/>
        <v>0</v>
      </c>
      <c r="G81" s="208">
        <f t="shared" si="11"/>
        <v>0</v>
      </c>
      <c r="H81" s="209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21.0" customHeight="1">
      <c r="A82" s="211"/>
      <c r="B82" s="212"/>
      <c r="C82" s="213"/>
      <c r="D82" s="213"/>
      <c r="E82" s="206">
        <f t="shared" si="9"/>
        <v>0</v>
      </c>
      <c r="F82" s="207">
        <f t="shared" si="10"/>
        <v>0</v>
      </c>
      <c r="G82" s="208">
        <f t="shared" si="11"/>
        <v>0</v>
      </c>
      <c r="H82" s="209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21.0" customHeight="1">
      <c r="A83" s="211"/>
      <c r="B83" s="212"/>
      <c r="C83" s="213"/>
      <c r="D83" s="213"/>
      <c r="E83" s="206">
        <f t="shared" si="9"/>
        <v>0</v>
      </c>
      <c r="F83" s="207">
        <f t="shared" si="10"/>
        <v>0</v>
      </c>
      <c r="G83" s="208">
        <f t="shared" si="11"/>
        <v>0</v>
      </c>
      <c r="H83" s="209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21.0" customHeight="1">
      <c r="A84" s="211"/>
      <c r="B84" s="212"/>
      <c r="C84" s="213"/>
      <c r="D84" s="213"/>
      <c r="E84" s="206">
        <f t="shared" si="9"/>
        <v>0</v>
      </c>
      <c r="F84" s="207">
        <f t="shared" si="10"/>
        <v>0</v>
      </c>
      <c r="G84" s="208">
        <f t="shared" si="11"/>
        <v>0</v>
      </c>
      <c r="H84" s="209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21.0" customHeight="1">
      <c r="A85" s="211"/>
      <c r="B85" s="212"/>
      <c r="C85" s="213"/>
      <c r="D85" s="213"/>
      <c r="E85" s="206">
        <f t="shared" si="9"/>
        <v>0</v>
      </c>
      <c r="F85" s="207">
        <f t="shared" si="10"/>
        <v>0</v>
      </c>
      <c r="G85" s="208">
        <f t="shared" si="11"/>
        <v>0</v>
      </c>
      <c r="H85" s="209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21.0" customHeight="1">
      <c r="A86" s="211"/>
      <c r="B86" s="212"/>
      <c r="C86" s="213"/>
      <c r="D86" s="213"/>
      <c r="E86" s="206">
        <f t="shared" si="9"/>
        <v>0</v>
      </c>
      <c r="F86" s="207">
        <f t="shared" si="10"/>
        <v>0</v>
      </c>
      <c r="G86" s="208">
        <f t="shared" si="11"/>
        <v>0</v>
      </c>
      <c r="H86" s="209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21.0" customHeight="1">
      <c r="A87" s="211"/>
      <c r="B87" s="212"/>
      <c r="C87" s="213"/>
      <c r="D87" s="213"/>
      <c r="E87" s="206">
        <f t="shared" si="9"/>
        <v>0</v>
      </c>
      <c r="F87" s="207">
        <f t="shared" si="10"/>
        <v>0</v>
      </c>
      <c r="G87" s="208">
        <f t="shared" si="11"/>
        <v>0</v>
      </c>
      <c r="H87" s="209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21.0" customHeight="1">
      <c r="A88" s="211"/>
      <c r="B88" s="212"/>
      <c r="C88" s="213"/>
      <c r="D88" s="213"/>
      <c r="E88" s="206">
        <f t="shared" si="9"/>
        <v>0</v>
      </c>
      <c r="F88" s="207">
        <f t="shared" si="10"/>
        <v>0</v>
      </c>
      <c r="G88" s="208">
        <f t="shared" si="11"/>
        <v>0</v>
      </c>
      <c r="H88" s="209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21.0" customHeight="1">
      <c r="A89" s="211"/>
      <c r="B89" s="212"/>
      <c r="C89" s="213"/>
      <c r="D89" s="213"/>
      <c r="E89" s="206">
        <f t="shared" si="9"/>
        <v>0</v>
      </c>
      <c r="F89" s="207">
        <f t="shared" si="10"/>
        <v>0</v>
      </c>
      <c r="G89" s="208">
        <f t="shared" si="11"/>
        <v>0</v>
      </c>
      <c r="H89" s="209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21.0" customHeight="1">
      <c r="A90" s="211"/>
      <c r="B90" s="212"/>
      <c r="C90" s="213"/>
      <c r="D90" s="213"/>
      <c r="E90" s="206">
        <f t="shared" si="9"/>
        <v>0</v>
      </c>
      <c r="F90" s="207">
        <f t="shared" si="10"/>
        <v>0</v>
      </c>
      <c r="G90" s="208">
        <f t="shared" si="11"/>
        <v>0</v>
      </c>
      <c r="H90" s="209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21.0" customHeight="1">
      <c r="A91" s="211"/>
      <c r="B91" s="212"/>
      <c r="C91" s="213"/>
      <c r="D91" s="213"/>
      <c r="E91" s="206">
        <f t="shared" si="9"/>
        <v>0</v>
      </c>
      <c r="F91" s="207">
        <f t="shared" si="10"/>
        <v>0</v>
      </c>
      <c r="G91" s="208">
        <f t="shared" si="11"/>
        <v>0</v>
      </c>
      <c r="H91" s="209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21.0" customHeight="1">
      <c r="A92" s="211"/>
      <c r="B92" s="212"/>
      <c r="C92" s="213"/>
      <c r="D92" s="213"/>
      <c r="E92" s="206">
        <f t="shared" si="9"/>
        <v>0</v>
      </c>
      <c r="F92" s="207">
        <f t="shared" si="10"/>
        <v>0</v>
      </c>
      <c r="G92" s="208">
        <f t="shared" si="11"/>
        <v>0</v>
      </c>
      <c r="H92" s="209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21.0" customHeight="1">
      <c r="A93" s="211"/>
      <c r="B93" s="212"/>
      <c r="C93" s="213"/>
      <c r="D93" s="213"/>
      <c r="E93" s="206">
        <f t="shared" si="9"/>
        <v>0</v>
      </c>
      <c r="F93" s="207">
        <f t="shared" si="10"/>
        <v>0</v>
      </c>
      <c r="G93" s="208">
        <f t="shared" si="11"/>
        <v>0</v>
      </c>
      <c r="H93" s="209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27.75" customHeight="1">
      <c r="A94" s="214" t="s">
        <v>195</v>
      </c>
      <c r="B94" s="215"/>
      <c r="C94" s="215"/>
      <c r="D94" s="215"/>
      <c r="E94" s="216">
        <f>SUM(E24:E93)</f>
        <v>1.3625</v>
      </c>
      <c r="F94" s="215"/>
      <c r="G94" s="217">
        <f>SUM(G24:G93)</f>
        <v>27720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9.5" customHeight="1">
      <c r="A95" s="218" t="s">
        <v>196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</row>
    <row r="1014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</row>
    <row r="1015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</row>
    <row r="1016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</row>
    <row r="1017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</row>
    <row r="1018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</row>
    <row r="1019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</row>
    <row r="1020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</row>
  </sheetData>
  <mergeCells count="6">
    <mergeCell ref="A1:N1"/>
    <mergeCell ref="A3:N3"/>
    <mergeCell ref="A12:N12"/>
    <mergeCell ref="A14:A15"/>
    <mergeCell ref="A16:A17"/>
    <mergeCell ref="A22:H22"/>
  </mergeCells>
  <dataValidations>
    <dataValidation type="list" allowBlank="1" showErrorMessage="1" sqref="B24:B93">
      <formula1>"岡村,下里清代"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0.0"/>
    <col customWidth="1" min="3" max="14" width="14.0"/>
    <col customWidth="1" min="15" max="15" width="16.0"/>
    <col customWidth="1" min="16" max="16" width="14.0"/>
  </cols>
  <sheetData>
    <row r="1" ht="42.0" customHeight="1">
      <c r="A1" s="4"/>
      <c r="B1" s="67" t="s">
        <v>197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9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102" t="s">
        <v>176</v>
      </c>
      <c r="C3" s="219">
        <v>46143.0</v>
      </c>
      <c r="D3" s="219">
        <v>46174.0</v>
      </c>
      <c r="E3" s="219">
        <v>46204.0</v>
      </c>
      <c r="F3" s="219">
        <v>46235.0</v>
      </c>
      <c r="G3" s="220">
        <v>46266.0</v>
      </c>
      <c r="H3" s="220">
        <v>46296.0</v>
      </c>
      <c r="I3" s="220">
        <v>46327.0</v>
      </c>
      <c r="J3" s="220">
        <v>46357.0</v>
      </c>
      <c r="K3" s="220">
        <v>46388.0</v>
      </c>
      <c r="L3" s="220">
        <v>46419.0</v>
      </c>
      <c r="M3" s="220">
        <v>46447.0</v>
      </c>
      <c r="N3" s="220">
        <v>46478.0</v>
      </c>
      <c r="O3" s="47" t="s">
        <v>90</v>
      </c>
      <c r="P3" s="47" t="s">
        <v>198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 ht="24.0" customHeight="1">
      <c r="A4" s="4"/>
      <c r="B4" s="153" t="s">
        <v>199</v>
      </c>
      <c r="C4" s="221">
        <f>'📈月次サマリー'!E4</f>
        <v>380500</v>
      </c>
      <c r="D4" s="221">
        <f>'📈月次サマリー'!E5</f>
        <v>40700</v>
      </c>
      <c r="E4" s="221">
        <f>'📈月次サマリー'!E6</f>
        <v>0</v>
      </c>
      <c r="F4" s="221">
        <f>'📈月次サマリー'!E7</f>
        <v>0</v>
      </c>
      <c r="G4" s="221">
        <f>'📈月次サマリー'!E8</f>
        <v>0</v>
      </c>
      <c r="H4" s="221">
        <f>'📈月次サマリー'!E9</f>
        <v>0</v>
      </c>
      <c r="I4" s="221">
        <f>'📈月次サマリー'!E10</f>
        <v>0</v>
      </c>
      <c r="J4" s="221">
        <f>'📈月次サマリー'!E11</f>
        <v>0</v>
      </c>
      <c r="K4" s="221">
        <f>'📈月次サマリー'!E12</f>
        <v>0</v>
      </c>
      <c r="L4" s="221">
        <f>'📈月次サマリー'!E13</f>
        <v>0</v>
      </c>
      <c r="M4" s="221">
        <f>'📈月次サマリー'!E14</f>
        <v>0</v>
      </c>
      <c r="N4" s="221">
        <f>'📈月次サマリー'!E15</f>
        <v>0</v>
      </c>
      <c r="O4" s="222">
        <f t="shared" ref="O4:O13" si="1">SUM(C4:N4)</f>
        <v>421200</v>
      </c>
      <c r="P4" s="223">
        <f t="shared" ref="P4:P15" si="2">IFERROR(O4/COUNTIF(C4:N4,"&lt;&gt;0"),0)</f>
        <v>210600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 ht="24.0" customHeight="1">
      <c r="A5" s="4"/>
      <c r="B5" s="224" t="s">
        <v>200</v>
      </c>
      <c r="C5" s="225" t="str">
        <f>'💰経費・人件費'!B5</f>
        <v/>
      </c>
      <c r="D5" s="225" t="str">
        <f>'💰経費・人件費'!C5</f>
        <v/>
      </c>
      <c r="E5" s="225" t="str">
        <f>'💰経費・人件費'!D5</f>
        <v/>
      </c>
      <c r="F5" s="225" t="str">
        <f>'💰経費・人件費'!E5</f>
        <v/>
      </c>
      <c r="G5" s="225" t="str">
        <f>'💰経費・人件費'!F5</f>
        <v/>
      </c>
      <c r="H5" s="225" t="str">
        <f>'💰経費・人件費'!G5</f>
        <v/>
      </c>
      <c r="I5" s="225" t="str">
        <f>'💰経費・人件費'!H5</f>
        <v/>
      </c>
      <c r="J5" s="225" t="str">
        <f>'💰経費・人件費'!I5</f>
        <v/>
      </c>
      <c r="K5" s="225" t="str">
        <f>'💰経費・人件費'!J5</f>
        <v/>
      </c>
      <c r="L5" s="225" t="str">
        <f>'💰経費・人件費'!K5</f>
        <v/>
      </c>
      <c r="M5" s="225" t="str">
        <f>'💰経費・人件費'!L5</f>
        <v/>
      </c>
      <c r="N5" s="225" t="str">
        <f>'💰経費・人件費'!M5</f>
        <v/>
      </c>
      <c r="O5" s="222">
        <f t="shared" si="1"/>
        <v>0</v>
      </c>
      <c r="P5" s="223">
        <f t="shared" si="2"/>
        <v>0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ht="24.0" customHeight="1">
      <c r="A6" s="4"/>
      <c r="B6" s="224" t="s">
        <v>201</v>
      </c>
      <c r="C6" s="225" t="str">
        <f>'💰経費・人件費'!B6</f>
        <v/>
      </c>
      <c r="D6" s="225" t="str">
        <f>'💰経費・人件費'!C6</f>
        <v/>
      </c>
      <c r="E6" s="225" t="str">
        <f>'💰経費・人件費'!D6</f>
        <v/>
      </c>
      <c r="F6" s="225" t="str">
        <f>'💰経費・人件費'!E6</f>
        <v/>
      </c>
      <c r="G6" s="225" t="str">
        <f>'💰経費・人件費'!F6</f>
        <v/>
      </c>
      <c r="H6" s="225" t="str">
        <f>'💰経費・人件費'!G6</f>
        <v/>
      </c>
      <c r="I6" s="225" t="str">
        <f>'💰経費・人件費'!H6</f>
        <v/>
      </c>
      <c r="J6" s="225" t="str">
        <f>'💰経費・人件費'!I6</f>
        <v/>
      </c>
      <c r="K6" s="225" t="str">
        <f>'💰経費・人件費'!J6</f>
        <v/>
      </c>
      <c r="L6" s="225" t="str">
        <f>'💰経費・人件費'!K6</f>
        <v/>
      </c>
      <c r="M6" s="225" t="str">
        <f>'💰経費・人件費'!L6</f>
        <v/>
      </c>
      <c r="N6" s="225" t="str">
        <f>'💰経費・人件費'!M6</f>
        <v/>
      </c>
      <c r="O6" s="222">
        <f t="shared" si="1"/>
        <v>0</v>
      </c>
      <c r="P6" s="223">
        <f t="shared" si="2"/>
        <v>0</v>
      </c>
      <c r="Q6" s="4"/>
      <c r="R6" s="4"/>
      <c r="S6" s="4"/>
      <c r="T6" s="4"/>
      <c r="U6" s="4"/>
      <c r="V6" s="4"/>
      <c r="W6" s="4"/>
      <c r="X6" s="4"/>
      <c r="Y6" s="4"/>
      <c r="Z6" s="4"/>
    </row>
    <row r="7" ht="24.0" customHeight="1">
      <c r="A7" s="4"/>
      <c r="B7" s="224" t="s">
        <v>202</v>
      </c>
      <c r="C7" s="225" t="str">
        <f>'💰経費・人件費'!B7</f>
        <v/>
      </c>
      <c r="D7" s="225" t="str">
        <f>'💰経費・人件費'!C7</f>
        <v/>
      </c>
      <c r="E7" s="225" t="str">
        <f>'💰経費・人件費'!D7</f>
        <v/>
      </c>
      <c r="F7" s="225" t="str">
        <f>'💰経費・人件費'!E7</f>
        <v/>
      </c>
      <c r="G7" s="225" t="str">
        <f>'💰経費・人件費'!F7</f>
        <v/>
      </c>
      <c r="H7" s="225" t="str">
        <f>'💰経費・人件費'!G7</f>
        <v/>
      </c>
      <c r="I7" s="225" t="str">
        <f>'💰経費・人件費'!H7</f>
        <v/>
      </c>
      <c r="J7" s="225" t="str">
        <f>'💰経費・人件費'!I7</f>
        <v/>
      </c>
      <c r="K7" s="225" t="str">
        <f>'💰経費・人件費'!J7</f>
        <v/>
      </c>
      <c r="L7" s="225" t="str">
        <f>'💰経費・人件費'!K7</f>
        <v/>
      </c>
      <c r="M7" s="225" t="str">
        <f>'💰経費・人件費'!L7</f>
        <v/>
      </c>
      <c r="N7" s="225" t="str">
        <f>'💰経費・人件費'!M7</f>
        <v/>
      </c>
      <c r="O7" s="222">
        <f t="shared" si="1"/>
        <v>0</v>
      </c>
      <c r="P7" s="223">
        <f t="shared" si="2"/>
        <v>0</v>
      </c>
      <c r="Q7" s="4"/>
      <c r="R7" s="4"/>
      <c r="S7" s="4"/>
      <c r="T7" s="4"/>
      <c r="U7" s="4"/>
      <c r="V7" s="4"/>
      <c r="W7" s="4"/>
      <c r="X7" s="4"/>
      <c r="Y7" s="4"/>
      <c r="Z7" s="4"/>
    </row>
    <row r="8" ht="24.0" customHeight="1">
      <c r="A8" s="4"/>
      <c r="B8" s="226" t="s">
        <v>203</v>
      </c>
      <c r="C8" s="225" t="str">
        <f>'💰経費・人件費'!B8</f>
        <v/>
      </c>
      <c r="D8" s="225" t="str">
        <f>'💰経費・人件費'!C8</f>
        <v/>
      </c>
      <c r="E8" s="225" t="str">
        <f>'💰経費・人件費'!D8</f>
        <v/>
      </c>
      <c r="F8" s="225" t="str">
        <f>'💰経費・人件費'!E8</f>
        <v/>
      </c>
      <c r="G8" s="225" t="str">
        <f>'💰経費・人件費'!F8</f>
        <v/>
      </c>
      <c r="H8" s="225" t="str">
        <f>'💰経費・人件費'!G8</f>
        <v/>
      </c>
      <c r="I8" s="225" t="str">
        <f>'💰経費・人件費'!H8</f>
        <v/>
      </c>
      <c r="J8" s="225" t="str">
        <f>'💰経費・人件費'!I8</f>
        <v/>
      </c>
      <c r="K8" s="225" t="str">
        <f>'💰経費・人件費'!J8</f>
        <v/>
      </c>
      <c r="L8" s="225" t="str">
        <f>'💰経費・人件費'!K8</f>
        <v/>
      </c>
      <c r="M8" s="225" t="str">
        <f>'💰経費・人件費'!L8</f>
        <v/>
      </c>
      <c r="N8" s="225" t="str">
        <f>'💰経費・人件費'!M8</f>
        <v/>
      </c>
      <c r="O8" s="222">
        <f t="shared" si="1"/>
        <v>0</v>
      </c>
      <c r="P8" s="223">
        <f t="shared" si="2"/>
        <v>0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 ht="24.0" customHeight="1">
      <c r="A9" s="4"/>
      <c r="B9" s="224" t="s">
        <v>204</v>
      </c>
      <c r="C9" s="225" t="str">
        <f>'💰経費・人件費'!B9</f>
        <v/>
      </c>
      <c r="D9" s="225" t="str">
        <f>'💰経費・人件費'!C9</f>
        <v/>
      </c>
      <c r="E9" s="225" t="str">
        <f>'💰経費・人件費'!D9</f>
        <v/>
      </c>
      <c r="F9" s="225" t="str">
        <f>'💰経費・人件費'!E9</f>
        <v/>
      </c>
      <c r="G9" s="225" t="str">
        <f>'💰経費・人件費'!F9</f>
        <v/>
      </c>
      <c r="H9" s="225" t="str">
        <f>'💰経費・人件費'!G9</f>
        <v/>
      </c>
      <c r="I9" s="225" t="str">
        <f>'💰経費・人件費'!H9</f>
        <v/>
      </c>
      <c r="J9" s="225" t="str">
        <f>'💰経費・人件費'!I9</f>
        <v/>
      </c>
      <c r="K9" s="225" t="str">
        <f>'💰経費・人件費'!J9</f>
        <v/>
      </c>
      <c r="L9" s="225" t="str">
        <f>'💰経費・人件費'!K9</f>
        <v/>
      </c>
      <c r="M9" s="225" t="str">
        <f>'💰経費・人件費'!L9</f>
        <v/>
      </c>
      <c r="N9" s="225" t="str">
        <f>'💰経費・人件費'!M9</f>
        <v/>
      </c>
      <c r="O9" s="222">
        <f t="shared" si="1"/>
        <v>0</v>
      </c>
      <c r="P9" s="223">
        <f t="shared" si="2"/>
        <v>0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 ht="24.0" customHeight="1">
      <c r="A10" s="4"/>
      <c r="B10" s="177" t="s">
        <v>205</v>
      </c>
      <c r="C10" s="227">
        <f t="shared" ref="C10:D10" si="3">SUM(C5:C9)</f>
        <v>0</v>
      </c>
      <c r="D10" s="227">
        <f t="shared" si="3"/>
        <v>0</v>
      </c>
      <c r="E10" s="227">
        <f t="shared" ref="E10:N10" si="4">SUM(E5:E8)</f>
        <v>0</v>
      </c>
      <c r="F10" s="227">
        <f t="shared" si="4"/>
        <v>0</v>
      </c>
      <c r="G10" s="227">
        <f t="shared" si="4"/>
        <v>0</v>
      </c>
      <c r="H10" s="227">
        <f t="shared" si="4"/>
        <v>0</v>
      </c>
      <c r="I10" s="227">
        <f t="shared" si="4"/>
        <v>0</v>
      </c>
      <c r="J10" s="227">
        <f t="shared" si="4"/>
        <v>0</v>
      </c>
      <c r="K10" s="227">
        <f t="shared" si="4"/>
        <v>0</v>
      </c>
      <c r="L10" s="227">
        <f t="shared" si="4"/>
        <v>0</v>
      </c>
      <c r="M10" s="227">
        <f t="shared" si="4"/>
        <v>0</v>
      </c>
      <c r="N10" s="227">
        <f t="shared" si="4"/>
        <v>0</v>
      </c>
      <c r="O10" s="222">
        <f t="shared" si="1"/>
        <v>0</v>
      </c>
      <c r="P10" s="228">
        <f t="shared" si="2"/>
        <v>0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0" customHeight="1">
      <c r="A11" s="4"/>
      <c r="B11" s="229" t="s">
        <v>206</v>
      </c>
      <c r="C11" s="230">
        <f>'💰経費・人件費'!B14</f>
        <v>22898.33333</v>
      </c>
      <c r="D11" s="230">
        <f>'💰経費・人件費'!C14</f>
        <v>4821.666667</v>
      </c>
      <c r="E11" s="230">
        <f>'💰経費・人件費'!D14</f>
        <v>0</v>
      </c>
      <c r="F11" s="230">
        <f>'💰経費・人件費'!E14</f>
        <v>0</v>
      </c>
      <c r="G11" s="230">
        <f>'💰経費・人件費'!F14</f>
        <v>0</v>
      </c>
      <c r="H11" s="230">
        <f>'💰経費・人件費'!G14</f>
        <v>0</v>
      </c>
      <c r="I11" s="230">
        <f>'💰経費・人件費'!H14</f>
        <v>0</v>
      </c>
      <c r="J11" s="230">
        <f>'💰経費・人件費'!I14</f>
        <v>0</v>
      </c>
      <c r="K11" s="230">
        <f>'💰経費・人件費'!J14</f>
        <v>0</v>
      </c>
      <c r="L11" s="230">
        <f>'💰経費・人件費'!K14</f>
        <v>0</v>
      </c>
      <c r="M11" s="230">
        <f>'💰経費・人件費'!L14</f>
        <v>0</v>
      </c>
      <c r="N11" s="230">
        <f>'💰経費・人件費'!M14</f>
        <v>0</v>
      </c>
      <c r="O11" s="231">
        <f t="shared" si="1"/>
        <v>27720</v>
      </c>
      <c r="P11" s="232">
        <f t="shared" si="2"/>
        <v>13860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4"/>
      <c r="B12" s="233" t="s">
        <v>207</v>
      </c>
      <c r="C12" s="234">
        <f>'💰経費・人件費'!B17</f>
        <v>0.25</v>
      </c>
      <c r="D12" s="234">
        <f>'💰経費・人件費'!C17</f>
        <v>0.0625</v>
      </c>
      <c r="E12" s="234">
        <f>'💰経費・人件費'!D17</f>
        <v>0</v>
      </c>
      <c r="F12" s="234">
        <f>'💰経費・人件費'!E17</f>
        <v>0</v>
      </c>
      <c r="G12" s="234">
        <f>'💰経費・人件費'!F17</f>
        <v>0</v>
      </c>
      <c r="H12" s="234">
        <f>'💰経費・人件費'!G17</f>
        <v>0</v>
      </c>
      <c r="I12" s="234">
        <f>'💰経費・人件費'!H17</f>
        <v>0</v>
      </c>
      <c r="J12" s="234">
        <f>'💰経費・人件費'!I17</f>
        <v>0</v>
      </c>
      <c r="K12" s="234">
        <f>'💰経費・人件費'!J17</f>
        <v>0</v>
      </c>
      <c r="L12" s="234">
        <f>'💰経費・人件費'!K17</f>
        <v>0</v>
      </c>
      <c r="M12" s="234">
        <f>'💰経費・人件費'!L17</f>
        <v>0</v>
      </c>
      <c r="N12" s="234">
        <f>'💰経費・人件費'!M17</f>
        <v>0</v>
      </c>
      <c r="O12" s="235">
        <f t="shared" si="1"/>
        <v>0.3125</v>
      </c>
      <c r="P12" s="236">
        <f t="shared" si="2"/>
        <v>0.15625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7.75" customHeight="1">
      <c r="A13" s="4"/>
      <c r="B13" s="237" t="s">
        <v>208</v>
      </c>
      <c r="C13" s="238">
        <f t="shared" ref="C13:N13" si="5">C10+C11</f>
        <v>22898.33333</v>
      </c>
      <c r="D13" s="238">
        <f t="shared" si="5"/>
        <v>4821.666667</v>
      </c>
      <c r="E13" s="238">
        <f t="shared" si="5"/>
        <v>0</v>
      </c>
      <c r="F13" s="238">
        <f t="shared" si="5"/>
        <v>0</v>
      </c>
      <c r="G13" s="238">
        <f t="shared" si="5"/>
        <v>0</v>
      </c>
      <c r="H13" s="238">
        <f t="shared" si="5"/>
        <v>0</v>
      </c>
      <c r="I13" s="238">
        <f t="shared" si="5"/>
        <v>0</v>
      </c>
      <c r="J13" s="238">
        <f t="shared" si="5"/>
        <v>0</v>
      </c>
      <c r="K13" s="238">
        <f t="shared" si="5"/>
        <v>0</v>
      </c>
      <c r="L13" s="238">
        <f t="shared" si="5"/>
        <v>0</v>
      </c>
      <c r="M13" s="238">
        <f t="shared" si="5"/>
        <v>0</v>
      </c>
      <c r="N13" s="238">
        <f t="shared" si="5"/>
        <v>0</v>
      </c>
      <c r="O13" s="239">
        <f t="shared" si="1"/>
        <v>27720</v>
      </c>
      <c r="P13" s="240">
        <f t="shared" si="2"/>
        <v>13860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3.75" customHeight="1">
      <c r="A14" s="4"/>
      <c r="B14" s="165" t="s">
        <v>209</v>
      </c>
      <c r="C14" s="241">
        <f t="shared" ref="C14:O14" si="6">C4-C13</f>
        <v>357601.6667</v>
      </c>
      <c r="D14" s="241">
        <f t="shared" si="6"/>
        <v>35878.33333</v>
      </c>
      <c r="E14" s="241">
        <f t="shared" si="6"/>
        <v>0</v>
      </c>
      <c r="F14" s="241">
        <f t="shared" si="6"/>
        <v>0</v>
      </c>
      <c r="G14" s="241">
        <f t="shared" si="6"/>
        <v>0</v>
      </c>
      <c r="H14" s="241">
        <f t="shared" si="6"/>
        <v>0</v>
      </c>
      <c r="I14" s="241">
        <f t="shared" si="6"/>
        <v>0</v>
      </c>
      <c r="J14" s="241">
        <f t="shared" si="6"/>
        <v>0</v>
      </c>
      <c r="K14" s="241">
        <f t="shared" si="6"/>
        <v>0</v>
      </c>
      <c r="L14" s="241">
        <f t="shared" si="6"/>
        <v>0</v>
      </c>
      <c r="M14" s="241">
        <f t="shared" si="6"/>
        <v>0</v>
      </c>
      <c r="N14" s="241">
        <f t="shared" si="6"/>
        <v>0</v>
      </c>
      <c r="O14" s="241">
        <f t="shared" si="6"/>
        <v>393480</v>
      </c>
      <c r="P14" s="242">
        <f t="shared" si="2"/>
        <v>196740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5.5" customHeight="1">
      <c r="A15" s="4"/>
      <c r="B15" s="243" t="s">
        <v>210</v>
      </c>
      <c r="C15" s="244">
        <f t="shared" ref="C15:O15" si="7">IFERROR(C14/C4,0)</f>
        <v>0.9398204117</v>
      </c>
      <c r="D15" s="244">
        <f t="shared" si="7"/>
        <v>0.8815315315</v>
      </c>
      <c r="E15" s="244">
        <f t="shared" si="7"/>
        <v>0</v>
      </c>
      <c r="F15" s="244">
        <f t="shared" si="7"/>
        <v>0</v>
      </c>
      <c r="G15" s="244">
        <f t="shared" si="7"/>
        <v>0</v>
      </c>
      <c r="H15" s="244">
        <f t="shared" si="7"/>
        <v>0</v>
      </c>
      <c r="I15" s="244">
        <f t="shared" si="7"/>
        <v>0</v>
      </c>
      <c r="J15" s="244">
        <f t="shared" si="7"/>
        <v>0</v>
      </c>
      <c r="K15" s="244">
        <f t="shared" si="7"/>
        <v>0</v>
      </c>
      <c r="L15" s="244">
        <f t="shared" si="7"/>
        <v>0</v>
      </c>
      <c r="M15" s="244">
        <f t="shared" si="7"/>
        <v>0</v>
      </c>
      <c r="N15" s="244">
        <f t="shared" si="7"/>
        <v>0</v>
      </c>
      <c r="O15" s="244">
        <f t="shared" si="7"/>
        <v>0.9341880342</v>
      </c>
      <c r="P15" s="245">
        <f t="shared" si="2"/>
        <v>0.4670940171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4"/>
      <c r="B17" s="246" t="s">
        <v>211</v>
      </c>
      <c r="C17" s="2"/>
      <c r="D17" s="2"/>
      <c r="E17" s="39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mergeCells count="2">
    <mergeCell ref="B1:P1"/>
    <mergeCell ref="B17:E17"/>
  </mergeCells>
  <printOptions/>
  <pageMargins bottom="1.0" footer="0.0" header="0.0" left="0.75" right="0.75" top="1.0"/>
  <pageSetup paperSize="9" orientation="portrait"/>
  <drawing r:id="rId1"/>
</worksheet>
</file>